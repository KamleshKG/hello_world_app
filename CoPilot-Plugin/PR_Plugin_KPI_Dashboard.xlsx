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_BigPicture" sheetId="1" state="visible" r:id="rId3"/>
    <sheet name="DATA_HigherMgmt" sheetId="2" state="visible" r:id="rId4"/>
    <sheet name="DATA_MidMgmt" sheetId="3" state="visible" r:id="rId5"/>
    <sheet name="DATA_Developers" sheetId="4" state="visible" r:id="rId6"/>
    <sheet name="DATA_PRReviewers" sheetId="5" state="visible" r:id="rId7"/>
    <sheet name="DATA_NewJoinees" sheetId="6" state="visible" r:id="rId8"/>
    <sheet name="DASH_HigherMgmt" sheetId="7" state="visible" r:id="rId9"/>
    <sheet name="DASH_MidMgmt" sheetId="8" state="visible" r:id="rId10"/>
    <sheet name="DASH_Developers" sheetId="9" state="visible" r:id="rId11"/>
    <sheet name="DASH_PRReviewers" sheetId="10" state="visible" r:id="rId12"/>
    <sheet name="DASH_NewJoine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<sst xmlns="http://schemas.openxmlformats.org/spreadsheetml/2006/main" count="175" uniqueCount="125">
  <si>
    <t xml:space="preserve">VSCode PR REVIEW PLUGIN — EXECUTIVE KPI DASHBOARD (All Value Chains)</t>
  </si>
  <si>
    <t xml:space="preserve">Demo Data  |  6-Month Trend  |  Pulls live from all DATA_ sheets</t>
  </si>
  <si>
    <t xml:space="preserve">HIGHER MGMT</t>
  </si>
  <si>
    <t xml:space="preserve">MID MGMT</t>
  </si>
  <si>
    <t xml:space="preserve">DEVELOPERS</t>
  </si>
  <si>
    <t xml:space="preserve">PR REVIEWERS</t>
  </si>
  <si>
    <t xml:space="preserve">NEW JOINEES</t>
  </si>
  <si>
    <t xml:space="preserve">Adoption Rate</t>
  </si>
  <si>
    <t xml:space="preserve">Checklist Rate</t>
  </si>
  <si>
    <t xml:space="preserve">Pre-Review %</t>
  </si>
  <si>
    <t xml:space="preserve">AI Pre-Val %</t>
  </si>
  <si>
    <t xml:space="preserve">Self-Rev/Wk</t>
  </si>
  <si>
    <t xml:space="preserve">Reviews M6</t>
  </si>
  <si>
    <t xml:space="preserve">MRA Rate</t>
  </si>
  <si>
    <t xml:space="preserve">Rework ↓</t>
  </si>
  <si>
    <t xml:space="preserve">Human Cmts/PR</t>
  </si>
  <si>
    <t xml:space="preserve">Days 1st PR</t>
  </si>
  <si>
    <t xml:space="preserve">Jira+AC M6</t>
  </si>
  <si>
    <t xml:space="preserve">Avg Cycles</t>
  </si>
  <si>
    <t xml:space="preserve">Hrs to Approval</t>
  </si>
  <si>
    <t xml:space="preserve">Reviewer Hrs/PR</t>
  </si>
  <si>
    <t xml:space="preserve">Senior Hrs</t>
  </si>
  <si>
    <t xml:space="preserve">BUSINESS OUTCOME KPIs — 6-Month Summary</t>
  </si>
  <si>
    <t xml:space="preserve">Business KPI</t>
  </si>
  <si>
    <t xml:space="preserve">M1 Baseline</t>
  </si>
  <si>
    <t xml:space="preserve">M6 Current</t>
  </si>
  <si>
    <t xml:space="preserve">Change</t>
  </si>
  <si>
    <t xml:space="preserve">Target</t>
  </si>
  <si>
    <t xml:space="preserve">Status</t>
  </si>
  <si>
    <t xml:space="preserve">Mean Time to Merge (MTTM)</t>
  </si>
  <si>
    <t xml:space="preserve">28.4 hrs</t>
  </si>
  <si>
    <t xml:space="preserve">&lt; 20 hrs</t>
  </si>
  <si>
    <t xml:space="preserve">🟡 Improving</t>
  </si>
  <si>
    <t xml:space="preserve">Copilot Adoption Rate</t>
  </si>
  <si>
    <t xml:space="preserve">&gt; 70%</t>
  </si>
  <si>
    <t xml:space="preserve">🟢 On Track</t>
  </si>
  <si>
    <t xml:space="preserve">PR Review Cycles (Avg)</t>
  </si>
  <si>
    <t xml:space="preserve">&lt; 2.0</t>
  </si>
  <si>
    <t xml:space="preserve">Human Comments per PR</t>
  </si>
  <si>
    <t xml:space="preserve">&lt; 3.0</t>
  </si>
  <si>
    <t xml:space="preserve">New Joinee First PR (Days)</t>
  </si>
  <si>
    <t xml:space="preserve">&lt; 5 days</t>
  </si>
  <si>
    <t xml:space="preserve">AI Pre-Validation Rate</t>
  </si>
  <si>
    <t xml:space="preserve">&gt; 80%</t>
  </si>
  <si>
    <t xml:space="preserve">DATA — Higher Management KPIs (Demo Data)</t>
  </si>
  <si>
    <t xml:space="preserve">Month</t>
  </si>
  <si>
    <t xml:space="preserve">Licensed Seats</t>
  </si>
  <si>
    <t xml:space="preserve">Active Users (Plugin)</t>
  </si>
  <si>
    <t xml:space="preserve">Reviews Triggered (Plugin Labels)</t>
  </si>
  <si>
    <t xml:space="preserve">Self Reviews</t>
  </si>
  <si>
    <t xml:space="preserve">PR Reviews</t>
  </si>
  <si>
    <t xml:space="preserve">Jira+AC Reviews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</si>
  <si>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</si>
  <si>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</si>
  <si>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</si>
  <si>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</si>
  <si>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</si>
  <si>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</si>
  <si>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DATA — Mid Management KPIs (Demo Data)</t>
  </si>
  <si>
    <t xml:space="preserve">PRs Raised</t>
  </si>
  <si>
    <t xml:space="preserve">Checklist Completed</t>
  </si>
  <si>
    <t xml:space="preserve">MRA Resolution Rate (%)</t>
  </si>
  <si>
    <t xml:space="preserve">Avg Review Cycles</t>
  </si>
  <si>
    <t xml:space="preserve">Recurring Issues Flagged</t>
  </si>
  <si>
    <t xml:space="preserve">DATA — Developer KPIs (Demo Data)</t>
  </si>
  <si>
    <t xml:space="preserve">PRs with Self/AC Review Before</t>
  </si>
  <si>
    <t xml:space="preserve">Rework Commits</t>
  </si>
  <si>
    <t xml:space="preserve">Avg Hours PR→Approval</t>
  </si>
  <si>
    <t xml:space="preserve">AC Mismatch Caught Pre-Review</t>
  </si>
  <si>
    <t xml:space="preserve">DATA — PR Reviewer KPIs (Demo Data)</t>
  </si>
  <si>
    <t xml:space="preserve">PRs Reviewed</t>
  </si>
  <si>
    <t xml:space="preserve">PRs Pre-Validated by AI (AC)</t>
  </si>
  <si>
    <t xml:space="preserve">Avg Human Comments/PR</t>
  </si>
  <si>
    <t xml:space="preserve">Avg Reviewer Hours/PR</t>
  </si>
  <si>
    <t xml:space="preserve">Checklist Disputes</t>
  </si>
  <si>
    <t xml:space="preserve">DATA — New Joinee KPIs (Demo Data)</t>
  </si>
  <si>
    <t xml:space="preserve">New Joinees</t>
  </si>
  <si>
    <t xml:space="preserve">Avg Self-Reviews/Week</t>
  </si>
  <si>
    <t xml:space="preserve">Avg First PR Approval (Days)</t>
  </si>
  <si>
    <t xml:space="preserve">Human Comments on NJ PRs</t>
  </si>
  <si>
    <t xml:space="preserve">Senior Hrs on NJ PRs</t>
  </si>
  <si>
    <t xml:space="preserve">HIGHER MANAGEMENT DASHBOARD — Copilot ROI &amp; Adoption</t>
  </si>
  <si>
    <t xml:space="preserve">Active Users M6</t>
  </si>
  <si>
    <t xml:space="preserve">Total Reviews M6</t>
  </si>
  <si>
    <t xml:space="preserve">Monthly Adoption Trend (pulls from DATA_HigherMgmt)</t>
  </si>
  <si>
    <t xml:space="preserve">Licensed</t>
  </si>
  <si>
    <t xml:space="preserve">Active Users</t>
  </si>
  <si>
    <t xml:space="preserve">Adoption %</t>
  </si>
  <si>
    <t xml:space="preserve">AC Reviews</t>
  </si>
  <si>
    <t xml:space="preserve">MID MANAGEMENT DASHBOARD — Code Quality &amp; Review Process</t>
  </si>
  <si>
    <t xml:space="preserve">Checklist Rate M6</t>
  </si>
  <si>
    <t xml:space="preserve">MRA Resolution M6</t>
  </si>
  <si>
    <t xml:space="preserve">Avg Review Cycles M6</t>
  </si>
  <si>
    <t xml:space="preserve">Issues Flagged M6</t>
  </si>
  <si>
    <t xml:space="preserve">Quality Trend Table (pulls from DATA_MidMgmt)</t>
  </si>
  <si>
    <t xml:space="preserve">Checklist Done</t>
  </si>
  <si>
    <t xml:space="preserve">MRA Rate %</t>
  </si>
  <si>
    <t xml:space="preserve">Issues Flagged</t>
  </si>
  <si>
    <t xml:space="preserve">DEVELOPER DASHBOARD — Productivity &amp; AC Review Adoption</t>
  </si>
  <si>
    <t xml:space="preserve">AC Reviews M6</t>
  </si>
  <si>
    <t xml:space="preserve">Rework Commits M6</t>
  </si>
  <si>
    <t xml:space="preserve">Avg Hrs to Approval M6</t>
  </si>
  <si>
    <t xml:space="preserve">AC Mismatches Caught</t>
  </si>
  <si>
    <t xml:space="preserve">Developer Trend Table (pulls from DATA_Developers)</t>
  </si>
  <si>
    <t xml:space="preserve">Pre-Reviewed %</t>
  </si>
  <si>
    <t xml:space="preserve">Hrs PR→Approval</t>
  </si>
  <si>
    <t xml:space="preserve">AC Caught Pre</t>
  </si>
  <si>
    <t xml:space="preserve">PR REVIEWER DASHBOARD — Review Efficiency &amp; Quality Gate</t>
  </si>
  <si>
    <t xml:space="preserve">AI Pre-Validated M6</t>
  </si>
  <si>
    <t xml:space="preserve">Human Comments/PR M6</t>
  </si>
  <si>
    <t xml:space="preserve">Reviewer Hours/PR M6</t>
  </si>
  <si>
    <t xml:space="preserve">Checklist Disputes M6</t>
  </si>
  <si>
    <t xml:space="preserve">Reviewer Trend Table (pulls from DATA_PRReviewers)</t>
  </si>
  <si>
    <t xml:space="preserve">AI Pre-Validated %</t>
  </si>
  <si>
    <t xml:space="preserve">Human Comments/PR</t>
  </si>
  <si>
    <t xml:space="preserve">Disputes</t>
  </si>
  <si>
    <t xml:space="preserve">NEW JOINEE DASHBOARD — Onboarding Quality &amp; Ramp Speed</t>
  </si>
  <si>
    <t xml:space="preserve">Avg Self-Reviews/Wk M6</t>
  </si>
  <si>
    <t xml:space="preserve">First PR Approval Days M6</t>
  </si>
  <si>
    <t xml:space="preserve">Human Comments/NJ PR M6</t>
  </si>
  <si>
    <t xml:space="preserve">Senior Hrs on NJ PRs M6</t>
  </si>
  <si>
    <t xml:space="preserve">New Joinee Trend Table (pulls from DATA_NewJoinees)</t>
  </si>
  <si>
    <t xml:space="preserve">Self-Reviews/Wk</t>
  </si>
  <si>
    <t xml:space="preserve">First PR Days</t>
  </si>
  <si>
    <t xml:space="preserve">Human Comments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</si>
</sst>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"/>
    <numFmt numFmtId="167" formatCode="0"/>
    <numFmt numFmtId="168" formatCode="0.0%"/>
    <numFmt numFmtId="169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6C3FC5"/>
      <name val="Calibri"/>
      <family val="0"/>
      <charset val="1"/>
    </font>
    <font>
      <sz val="9"/>
      <color rgb="FF1565C0"/>
      <name val="Calibri"/>
      <family val="0"/>
      <charset val="1"/>
    </font>
    <font>
      <sz val="9"/>
      <color rgb="FF027A6C"/>
      <name val="Calibri"/>
      <family val="0"/>
      <charset val="1"/>
    </font>
    <font>
      <sz val="9"/>
      <color rgb="FFB83232"/>
      <name val="Calibri"/>
      <family val="0"/>
      <charset val="1"/>
    </font>
    <font>
      <sz val="9"/>
      <color rgb="FFB05E00"/>
      <name val="Calibri"/>
      <family val="0"/>
      <charset val="1"/>
    </font>
    <font>
      <b val="true"/>
      <sz val="16"/>
      <color rgb="FF6C3FC5"/>
      <name val="Calibri"/>
      <family val="0"/>
      <charset val="1"/>
    </font>
    <font>
      <b val="true"/>
      <sz val="16"/>
      <color rgb="FF1565C0"/>
      <name val="Calibri"/>
      <family val="0"/>
      <charset val="1"/>
    </font>
    <font>
      <b val="true"/>
      <sz val="16"/>
      <color rgb="FF027A6C"/>
      <name val="Calibri"/>
      <family val="0"/>
      <charset val="1"/>
    </font>
    <font>
      <b val="true"/>
      <sz val="16"/>
      <color rgb="FFB83232"/>
      <name val="Calibri"/>
      <family val="0"/>
      <charset val="1"/>
    </font>
    <font>
      <b val="true"/>
      <sz val="16"/>
      <color rgb="FFB05E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6C3FC5"/>
      <name val="Calibri"/>
      <family val="0"/>
      <charset val="1"/>
    </font>
    <font>
      <b val="true"/>
      <sz val="18"/>
      <color rgb="FF6C3FC5"/>
      <name val="Calibri"/>
      <family val="0"/>
      <charset val="1"/>
    </font>
    <font>
      <b val="true"/>
      <sz val="10"/>
      <color rgb="FF1565C0"/>
      <name val="Calibri"/>
      <family val="0"/>
      <charset val="1"/>
    </font>
    <font>
      <b val="true"/>
      <sz val="18"/>
      <color rgb="FF1565C0"/>
      <name val="Calibri"/>
      <family val="0"/>
      <charset val="1"/>
    </font>
    <font>
      <b val="true"/>
      <sz val="10"/>
      <color rgb="FF027A6C"/>
      <name val="Calibri"/>
      <family val="0"/>
      <charset val="1"/>
    </font>
    <font>
      <b val="true"/>
      <sz val="18"/>
      <color rgb="FF027A6C"/>
      <name val="Calibri"/>
      <family val="0"/>
      <charset val="1"/>
    </font>
    <font>
      <b val="true"/>
      <sz val="10"/>
      <color rgb="FFB83232"/>
      <name val="Calibri"/>
      <family val="0"/>
      <charset val="1"/>
    </font>
    <font>
      <b val="true"/>
      <sz val="18"/>
      <color rgb="FFB83232"/>
      <name val="Calibri"/>
      <family val="0"/>
      <charset val="1"/>
    </font>
    <font>
      <b val="true"/>
      <sz val="10"/>
      <color rgb="FFB05E00"/>
      <name val="Calibri"/>
      <family val="0"/>
      <charset val="1"/>
    </font>
    <font>
      <b val="true"/>
      <sz val="18"/>
      <color rgb="FFB05E00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64748B"/>
        <bgColor rgb="FF878787"/>
      </patternFill>
    </fill>
    <fill>
      <patternFill patternType="solid">
        <fgColor rgb="FF6C3FC5"/>
        <bgColor rgb="FF993366"/>
      </patternFill>
    </fill>
    <fill>
      <patternFill patternType="solid">
        <fgColor rgb="FF1565C0"/>
        <bgColor rgb="FF3366FF"/>
      </patternFill>
    </fill>
    <fill>
      <patternFill patternType="solid">
        <fgColor rgb="FF027A6C"/>
        <bgColor rgb="FF008080"/>
      </patternFill>
    </fill>
    <fill>
      <patternFill patternType="solid">
        <fgColor rgb="FFB83232"/>
        <bgColor rgb="FF993366"/>
      </patternFill>
    </fill>
    <fill>
      <patternFill patternType="solid">
        <fgColor rgb="FFB05E00"/>
        <bgColor rgb="FFB83232"/>
      </patternFill>
    </fill>
    <fill>
      <patternFill patternType="solid">
        <fgColor rgb="FFEDE7F6"/>
        <bgColor rgb="FFF0F0F0"/>
      </patternFill>
    </fill>
    <fill>
      <patternFill patternType="solid">
        <fgColor rgb="FFE3F2FD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FDECEA"/>
        <bgColor rgb="FFFFF3E0"/>
      </patternFill>
    </fill>
    <fill>
      <patternFill patternType="solid">
        <fgColor rgb="FFFFF3E0"/>
        <bgColor rgb="FFFDECEA"/>
      </patternFill>
    </fill>
    <fill>
      <patternFill patternType="solid">
        <fgColor rgb="FFF4F6FB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5E00"/>
      <rgbColor rgb="FF800080"/>
      <rgbColor rgb="FF027A6C"/>
      <rgbColor rgb="FFCCCCCC"/>
      <rgbColor rgb="FF878787"/>
      <rgbColor rgb="FF9999FF"/>
      <rgbColor rgb="FF993366"/>
      <rgbColor rgb="FFFFF3E0"/>
      <rgbColor rgb="FFE0F2F1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F0F0F0"/>
      <rgbColor rgb="FFFDECEA"/>
      <rgbColor rgb="FFF4F6FB"/>
      <rgbColor rgb="FFF9F9F9"/>
      <rgbColor rgb="FFCC99FF"/>
      <rgbColor rgb="FFEDE7F6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2761"/>
      <rgbColor rgb="FF339966"/>
      <rgbColor rgb="FF003300"/>
      <rgbColor rgb="FF333300"/>
      <rgbColor rgb="FFB83232"/>
      <rgbColor rgb="FF993366"/>
      <rgbColor rgb="FF6C3FC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Adoption Rate Trend (6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DASH_HigherMgmt!C7</c:f>
              <c:strCache>
                <c:ptCount val="1"/>
                <c:pt idx="0">
                  <c:v>Active Users</c:v>
                </c:pt>
              </c:strCache>
            </c:strRef>
          </c:tx>
          <c:spPr>
            <a:solidFill>
              <a:srgbClr val="6c3fc5"/>
            </a:solidFill>
            <a:ln w="28080">
              <a:solidFill>
                <a:srgbClr val="6c3fc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DASH_HigherMgmt!$A$8:$A$13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DASH_HigherMgmt!$C$8:$C$13</c:f>
              <c:numCache>
                <c:formatCode>General</c:formatCode>
                <c:ptCount val="6"/>
                <c:pt idx="0">
                  <c:v>52</c:v>
                </c:pt>
                <c:pt idx="1">
                  <c:v>80</c:v>
                </c:pt>
                <c:pt idx="2">
                  <c:v>110</c:v>
                </c:pt>
                <c:pt idx="3">
                  <c:v>138</c:v>
                </c:pt>
                <c:pt idx="4">
                  <c:v>158</c:v>
                </c:pt>
                <c:pt idx="5">
                  <c:v>174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495318"/>
        <c:axId val="87922549"/>
      </c:lineChart>
      <c:catAx>
        <c:axId val="19495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22549"/>
        <c:crosses val="autoZero"/>
        <c:auto val="1"/>
        <c:lblAlgn val="ctr"/>
        <c:lblOffset val="100"/>
        <c:noMultiLvlLbl val="0"/>
      </c:catAx>
      <c:valAx>
        <c:axId val="87922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95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Quality — Cycles &amp; Comments Reducing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DASH_MidMgmt!E7</c:f>
              <c:strCache>
                <c:ptCount val="1"/>
                <c:pt idx="0">
                  <c:v>Avg Cycles</c:v>
                </c:pt>
              </c:strCache>
            </c:strRef>
          </c:tx>
          <c:spPr>
            <a:solidFill>
              <a:srgbClr val="1565c0"/>
            </a:solidFill>
            <a:ln w="2484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DASH_MidMgmt!$A$8:$A$13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DASH_MidMgmt!$E$8:$E$13</c:f>
              <c:numCache>
                <c:formatCode>0.0</c:formatCode>
                <c:ptCount val="6"/>
                <c:pt idx="0">
                  <c:v>3.2</c:v>
                </c:pt>
                <c:pt idx="1">
                  <c:v>2.8</c:v>
                </c:pt>
                <c:pt idx="2">
                  <c:v>2.4</c:v>
                </c:pt>
                <c:pt idx="3">
                  <c:v>2.1</c:v>
                </c:pt>
                <c:pt idx="4">
                  <c:v>1.8</c:v>
                </c:pt>
                <c:pt idx="5">
                  <c:v>1.6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DASH_PRReviewers!D7</c:f>
              <c:strCache>
                <c:ptCount val="1"/>
                <c:pt idx="0">
                  <c:v>Human Comments/PR</c:v>
                </c:pt>
              </c:strCache>
            </c:strRef>
          </c:tx>
          <c:spPr>
            <a:solidFill>
              <a:srgbClr val="b83232"/>
            </a:solidFill>
            <a:ln w="24840">
              <a:solidFill>
                <a:srgbClr val="b832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DASH_MidMgmt!$A$8:$A$13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DASH_PRReviewers!$D$8:$D$13</c:f>
              <c:numCache>
                <c:formatCode>0.0</c:formatCode>
                <c:ptCount val="6"/>
                <c:pt idx="0">
                  <c:v>7.2</c:v>
                </c:pt>
                <c:pt idx="1">
                  <c:v>6.1</c:v>
                </c:pt>
                <c:pt idx="2">
                  <c:v>5.2</c:v>
                </c:pt>
                <c:pt idx="3">
                  <c:v>4.4</c:v>
                </c:pt>
                <c:pt idx="4">
                  <c:v>3.6</c:v>
                </c:pt>
                <c:pt idx="5">
                  <c:v>2.9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845455"/>
        <c:axId val="95197186"/>
      </c:lineChart>
      <c:catAx>
        <c:axId val="5284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97186"/>
        <c:crosses val="autoZero"/>
        <c:auto val="1"/>
        <c:lblAlgn val="ctr"/>
        <c:lblOffset val="100"/>
        <c:noMultiLvlLbl val="0"/>
      </c:catAx>
      <c:valAx>
        <c:axId val="95197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454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Copilot Plugin Adoption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DASH_HigherMgmt!C7</c:f>
              <c:strCache>
                <c:ptCount val="1"/>
                <c:pt idx="0">
                  <c:v>Active Users</c:v>
                </c:pt>
              </c:strCache>
            </c:strRef>
          </c:tx>
          <c:spPr>
            <a:solidFill>
              <a:srgbClr val="6c3fc5"/>
            </a:solidFill>
            <a:ln w="24840">
              <a:solidFill>
                <a:srgbClr val="6c3fc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DASH_HigherMgmt!$A$8:$A$13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DASH_HigherMgmt!$C$8:$C$13</c:f>
              <c:numCache>
                <c:formatCode>General</c:formatCode>
                <c:ptCount val="6"/>
                <c:pt idx="0">
                  <c:v>52</c:v>
                </c:pt>
                <c:pt idx="1">
                  <c:v>80</c:v>
                </c:pt>
                <c:pt idx="2">
                  <c:v>110</c:v>
                </c:pt>
                <c:pt idx="3">
                  <c:v>138</c:v>
                </c:pt>
                <c:pt idx="4">
                  <c:v>158</c:v>
                </c:pt>
                <c:pt idx="5">
                  <c:v>174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708137"/>
        <c:axId val="9851119"/>
      </c:lineChart>
      <c:catAx>
        <c:axId val="407081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1119"/>
        <c:crosses val="autoZero"/>
        <c:auto val="1"/>
        <c:lblAlgn val="ctr"/>
        <c:lblOffset val="100"/>
        <c:noMultiLvlLbl val="0"/>
      </c:catAx>
      <c:valAx>
        <c:axId val="9851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08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Type Mix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DASH_HigherMgmt!E7</c:f>
              <c:strCache>
                <c:ptCount val="1"/>
                <c:pt idx="0">
                  <c:v>Self Reviews</c:v>
                </c:pt>
              </c:strCache>
            </c:strRef>
          </c:tx>
          <c:spPr>
            <a:solidFill>
              <a:srgbClr val="027a6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DASH_HigherMgmt!$A$8:$A$13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DASH_HigherMgmt!$E$8:$E$13</c:f>
              <c:numCache>
                <c:formatCode>General</c:formatCode>
                <c:ptCount val="6"/>
                <c:pt idx="0">
                  <c:v>18</c:v>
                </c:pt>
                <c:pt idx="1">
                  <c:v>34</c:v>
                </c:pt>
                <c:pt idx="2">
                  <c:v>52</c:v>
                </c:pt>
                <c:pt idx="3">
                  <c:v>68</c:v>
                </c:pt>
                <c:pt idx="4">
                  <c:v>82</c:v>
                </c:pt>
                <c:pt idx="5">
                  <c:v>94</c:v>
                </c:pt>
              </c:numCache>
            </c:numRef>
          </c:val>
        </c:ser>
        <c:ser>
          <c:idx val="1"/>
          <c:order val="1"/>
          <c:tx>
            <c:strRef>
              <c:f>DASH_HigherMgmt!F7</c:f>
              <c:strCache>
                <c:ptCount val="1"/>
                <c:pt idx="0">
                  <c:v>PR Reviews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DASH_HigherMgmt!$A$8:$A$13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DASH_HigherMgmt!$F$8:$F$13</c:f>
              <c:numCache>
                <c:formatCode>General</c:formatCode>
                <c:ptCount val="6"/>
                <c:pt idx="0">
                  <c:v>14</c:v>
                </c:pt>
                <c:pt idx="1">
                  <c:v>28</c:v>
                </c:pt>
                <c:pt idx="2">
                  <c:v>42</c:v>
                </c:pt>
                <c:pt idx="3">
                  <c:v>62</c:v>
                </c:pt>
                <c:pt idx="4">
                  <c:v>82</c:v>
                </c:pt>
                <c:pt idx="5">
                  <c:v>98</c:v>
                </c:pt>
              </c:numCache>
            </c:numRef>
          </c:val>
        </c:ser>
        <c:ser>
          <c:idx val="2"/>
          <c:order val="2"/>
          <c:tx>
            <c:strRef>
              <c:f>DASH_HigherMgmt!G7</c:f>
              <c:strCache>
                <c:ptCount val="1"/>
                <c:pt idx="0">
                  <c:v>AC Reviews</c:v>
                </c:pt>
              </c:strCache>
            </c:strRef>
          </c:tx>
          <c:spPr>
            <a:solidFill>
              <a:srgbClr val="6c3fc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DASH_HigherMgmt!$A$8:$A$13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DASH_HigherMgmt!$G$8:$G$13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21</c:v>
                </c:pt>
                <c:pt idx="3">
                  <c:v>32</c:v>
                </c:pt>
                <c:pt idx="4">
                  <c:v>41</c:v>
                </c:pt>
                <c:pt idx="5">
                  <c:v>56</c:v>
                </c:pt>
              </c:numCache>
            </c:numRef>
          </c:val>
        </c:ser>
        <c:gapWidth val="150"/>
        <c:overlap val="0"/>
        <c:axId val="93083829"/>
        <c:axId val="57250458"/>
      </c:barChart>
      <c:catAx>
        <c:axId val="930838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50458"/>
        <c:crosses val="autoZero"/>
        <c:auto val="1"/>
        <c:lblAlgn val="ctr"/>
        <c:lblOffset val="100"/>
        <c:noMultiLvlLbl val="0"/>
      </c:catAx>
      <c:valAx>
        <c:axId val="57250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83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Cycles per PR — Downward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DASH_MidMgmt!E7</c:f>
              <c:strCache>
                <c:ptCount val="1"/>
                <c:pt idx="0">
                  <c:v>Avg Cycles</c:v>
                </c:pt>
              </c:strCache>
            </c:strRef>
          </c:tx>
          <c:spPr>
            <a:solidFill>
              <a:srgbClr val="1565c0"/>
            </a:solidFill>
            <a:ln w="2484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DASH_MidMgmt!$A$8:$A$13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DASH_MidMgmt!$E$8:$E$13</c:f>
              <c:numCache>
                <c:formatCode>0.0</c:formatCode>
                <c:ptCount val="6"/>
                <c:pt idx="0">
                  <c:v>3.2</c:v>
                </c:pt>
                <c:pt idx="1">
                  <c:v>2.8</c:v>
                </c:pt>
                <c:pt idx="2">
                  <c:v>2.4</c:v>
                </c:pt>
                <c:pt idx="3">
                  <c:v>2.1</c:v>
                </c:pt>
                <c:pt idx="4">
                  <c:v>1.8</c:v>
                </c:pt>
                <c:pt idx="5">
                  <c:v>1.6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022690"/>
        <c:axId val="53425181"/>
      </c:lineChart>
      <c:catAx>
        <c:axId val="14022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25181"/>
        <c:crosses val="autoZero"/>
        <c:auto val="1"/>
        <c:lblAlgn val="ctr"/>
        <c:lblOffset val="100"/>
        <c:noMultiLvlLbl val="0"/>
      </c:catAx>
      <c:valAx>
        <c:axId val="53425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Cycles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22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Checklist Completion vs PRs Raised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DASH_MidMgmt!B7</c:f>
              <c:strCache>
                <c:ptCount val="1"/>
                <c:pt idx="0">
                  <c:v>PRs Raised</c:v>
                </c:pt>
              </c:strCache>
            </c:strRef>
          </c:tx>
          <c:spPr>
            <a:solidFill>
              <a:srgbClr val="f0f0f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DASH_MidMgmt!$A$8:$A$13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DASH_MidMgmt!$B$8:$B$13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160</c:v>
                </c:pt>
                <c:pt idx="4">
                  <c:v>172</c:v>
                </c:pt>
                <c:pt idx="5">
                  <c:v>180</c:v>
                </c:pt>
              </c:numCache>
            </c:numRef>
          </c:val>
        </c:ser>
        <c:ser>
          <c:idx val="1"/>
          <c:order val="1"/>
          <c:tx>
            <c:strRef>
              <c:f>DASH_MidMgmt!C7</c:f>
              <c:strCache>
                <c:ptCount val="1"/>
                <c:pt idx="0">
                  <c:v>Checklist Done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DASH_MidMgmt!$A$8:$A$13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DASH_MidMgmt!$C$8:$C$13</c:f>
              <c:numCache>
                <c:formatCode>General</c:formatCode>
                <c:ptCount val="6"/>
                <c:pt idx="0">
                  <c:v>84</c:v>
                </c:pt>
                <c:pt idx="1">
                  <c:v>108</c:v>
                </c:pt>
                <c:pt idx="2">
                  <c:v>130</c:v>
                </c:pt>
                <c:pt idx="3">
                  <c:v>147</c:v>
                </c:pt>
                <c:pt idx="4">
                  <c:v>162</c:v>
                </c:pt>
                <c:pt idx="5">
                  <c:v>172</c:v>
                </c:pt>
              </c:numCache>
            </c:numRef>
          </c:val>
        </c:ser>
        <c:gapWidth val="150"/>
        <c:overlap val="0"/>
        <c:axId val="50131923"/>
        <c:axId val="13013878"/>
      </c:barChart>
      <c:catAx>
        <c:axId val="50131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13878"/>
        <c:crosses val="autoZero"/>
        <c:auto val="1"/>
        <c:lblAlgn val="ctr"/>
        <c:lblOffset val="100"/>
        <c:noMultiLvlLbl val="0"/>
      </c:catAx>
      <c:valAx>
        <c:axId val="130138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319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from PR Raise to First Approval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DASH_Developers!E7</c:f>
              <c:strCache>
                <c:ptCount val="1"/>
                <c:pt idx="0">
                  <c:v>Hrs PR→Approval</c:v>
                </c:pt>
              </c:strCache>
            </c:strRef>
          </c:tx>
          <c:spPr>
            <a:solidFill>
              <a:srgbClr val="027a6c"/>
            </a:solidFill>
            <a:ln w="24840">
              <a:solidFill>
                <a:srgbClr val="027a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DASH_Developers!$A$8:$A$13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DASH_Developers!$E$8:$E$13</c:f>
              <c:numCache>
                <c:formatCode>0.0</c:formatCode>
                <c:ptCount val="6"/>
                <c:pt idx="0">
                  <c:v>28.4</c:v>
                </c:pt>
                <c:pt idx="1">
                  <c:v>24.2</c:v>
                </c:pt>
                <c:pt idx="2">
                  <c:v>20.6</c:v>
                </c:pt>
                <c:pt idx="3">
                  <c:v>17.2</c:v>
                </c:pt>
                <c:pt idx="4">
                  <c:v>14.8</c:v>
                </c:pt>
                <c:pt idx="5">
                  <c:v>12.4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980577"/>
        <c:axId val="68822771"/>
      </c:lineChart>
      <c:catAx>
        <c:axId val="28980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22771"/>
        <c:crosses val="autoZero"/>
        <c:auto val="1"/>
        <c:lblAlgn val="ctr"/>
        <c:lblOffset val="100"/>
        <c:noMultiLvlLbl val="0"/>
      </c:catAx>
      <c:valAx>
        <c:axId val="68822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80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Rework Commits Reducing Month-on-Month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DASH_Developers!D7</c:f>
              <c:strCache>
                <c:ptCount val="1"/>
                <c:pt idx="0">
                  <c:v>Rework Commits</c:v>
                </c:pt>
              </c:strCache>
            </c:strRef>
          </c:tx>
          <c:spPr>
            <a:solidFill>
              <a:srgbClr val="027a6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DASH_Developers!$A$8:$A$13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DASH_Developers!$D$8:$D$13</c:f>
              <c:numCache>
                <c:formatCode>General</c:formatCode>
                <c:ptCount val="6"/>
                <c:pt idx="0">
                  <c:v>62</c:v>
                </c:pt>
                <c:pt idx="1">
                  <c:v>54</c:v>
                </c:pt>
                <c:pt idx="2">
                  <c:v>44</c:v>
                </c:pt>
                <c:pt idx="3">
                  <c:v>38</c:v>
                </c:pt>
                <c:pt idx="4">
                  <c:v>32</c:v>
                </c:pt>
                <c:pt idx="5">
                  <c:v>26</c:v>
                </c:pt>
              </c:numCache>
            </c:numRef>
          </c:val>
        </c:ser>
        <c:gapWidth val="150"/>
        <c:overlap val="0"/>
        <c:axId val="8419241"/>
        <c:axId val="21033268"/>
      </c:barChart>
      <c:catAx>
        <c:axId val="8419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33268"/>
        <c:crosses val="autoZero"/>
        <c:auto val="1"/>
        <c:lblAlgn val="ctr"/>
        <c:lblOffset val="100"/>
        <c:noMultiLvlLbl val="0"/>
      </c:catAx>
      <c:valAx>
        <c:axId val="21033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9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Human Reviewer Comments per PR — Declining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DASH_PRReviewers!D7</c:f>
              <c:strCache>
                <c:ptCount val="1"/>
                <c:pt idx="0">
                  <c:v>Human Comments/PR</c:v>
                </c:pt>
              </c:strCache>
            </c:strRef>
          </c:tx>
          <c:spPr>
            <a:solidFill>
              <a:srgbClr val="b83232"/>
            </a:solidFill>
            <a:ln w="24840">
              <a:solidFill>
                <a:srgbClr val="b832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DASH_PRReviewers!$A$8:$A$13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DASH_PRReviewers!$D$8:$D$13</c:f>
              <c:numCache>
                <c:formatCode>0.0</c:formatCode>
                <c:ptCount val="6"/>
                <c:pt idx="0">
                  <c:v>7.2</c:v>
                </c:pt>
                <c:pt idx="1">
                  <c:v>6.1</c:v>
                </c:pt>
                <c:pt idx="2">
                  <c:v>5.2</c:v>
                </c:pt>
                <c:pt idx="3">
                  <c:v>4.4</c:v>
                </c:pt>
                <c:pt idx="4">
                  <c:v>3.6</c:v>
                </c:pt>
                <c:pt idx="5">
                  <c:v>2.9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265772"/>
        <c:axId val="91516288"/>
      </c:lineChart>
      <c:catAx>
        <c:axId val="82265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16288"/>
        <c:crosses val="autoZero"/>
        <c:auto val="1"/>
        <c:lblAlgn val="ctr"/>
        <c:lblOffset val="100"/>
        <c:noMultiLvlLbl val="0"/>
      </c:catAx>
      <c:valAx>
        <c:axId val="91516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65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 Pre-Validated PRs Growing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DASH_PRReviewers!C7</c:f>
              <c:strCache>
                <c:ptCount val="1"/>
                <c:pt idx="0">
                  <c:v>AI Pre-Validated %</c:v>
                </c:pt>
              </c:strCache>
            </c:strRef>
          </c:tx>
          <c:spPr>
            <a:solidFill>
              <a:srgbClr val="b832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DASH_PRReviewers!$A$8:$A$13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DASH_PRReviewers!$C$8:$C$13</c:f>
              <c:numCache>
                <c:formatCode>0.0%</c:formatCode>
                <c:ptCount val="6"/>
                <c:pt idx="0">
                  <c:v>0.233333333333333</c:v>
                </c:pt>
                <c:pt idx="1">
                  <c:v>0.385185185185185</c:v>
                </c:pt>
                <c:pt idx="2">
                  <c:v>0.527027027027027</c:v>
                </c:pt>
                <c:pt idx="3">
                  <c:v>0.65</c:v>
                </c:pt>
                <c:pt idx="4">
                  <c:v>0.744186046511628</c:v>
                </c:pt>
                <c:pt idx="5">
                  <c:v>0.822222222222222</c:v>
                </c:pt>
              </c:numCache>
            </c:numRef>
          </c:val>
        </c:ser>
        <c:gapWidth val="150"/>
        <c:overlap val="0"/>
        <c:axId val="99392562"/>
        <c:axId val="67492947"/>
      </c:barChart>
      <c:catAx>
        <c:axId val="99392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92947"/>
        <c:crosses val="autoZero"/>
        <c:auto val="1"/>
        <c:lblAlgn val="ctr"/>
        <c:lblOffset val="100"/>
        <c:noMultiLvlLbl val="0"/>
      </c:catAx>
      <c:valAx>
        <c:axId val="67492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92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Days to First PR Approval — Improving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DASH_NewJoinees!D7</c:f>
              <c:strCache>
                <c:ptCount val="1"/>
                <c:pt idx="0">
                  <c:v>First PR Days</c:v>
                </c:pt>
              </c:strCache>
            </c:strRef>
          </c:tx>
          <c:spPr>
            <a:solidFill>
              <a:srgbClr val="b05e00"/>
            </a:solidFill>
            <a:ln w="24840">
              <a:solidFill>
                <a:srgbClr val="b05e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DASH_NewJoinees!$A$8:$A$13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DASH_NewJoinees!$D$8:$D$13</c:f>
              <c:numCache>
                <c:formatCode>0.0</c:formatCode>
                <c:ptCount val="6"/>
                <c:pt idx="0">
                  <c:v>9.4</c:v>
                </c:pt>
                <c:pt idx="1">
                  <c:v>8.1</c:v>
                </c:pt>
                <c:pt idx="2">
                  <c:v>6.8</c:v>
                </c:pt>
                <c:pt idx="3">
                  <c:v>5.6</c:v>
                </c:pt>
                <c:pt idx="4">
                  <c:v>4.4</c:v>
                </c:pt>
                <c:pt idx="5">
                  <c:v>3.6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061889"/>
        <c:axId val="49889658"/>
      </c:lineChart>
      <c:catAx>
        <c:axId val="31061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89658"/>
        <c:crosses val="autoZero"/>
        <c:auto val="1"/>
        <c:lblAlgn val="ctr"/>
        <c:lblOffset val="100"/>
        <c:noMultiLvlLbl val="0"/>
      </c:catAx>
      <c:valAx>
        <c:axId val="49889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61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Senior Dev Hours on NJ PRs — Reducing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DASH_NewJoinees!F7</c:f>
              <c:strCache>
                <c:ptCount val="1"/>
                <c:pt idx="0">
                  <c:v>Senior Hrs</c:v>
                </c:pt>
              </c:strCache>
            </c:strRef>
          </c:tx>
          <c:spPr>
            <a:solidFill>
              <a:srgbClr val="b05e00"/>
            </a:solidFill>
            <a:ln w="24840">
              <a:solidFill>
                <a:srgbClr val="b05e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DASH_NewJoinees!$A$8:$A$13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DASH_NewJoinees!$F$8:$F$13</c:f>
              <c:numCache>
                <c:formatCode>0.0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14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876546"/>
        <c:axId val="69669900"/>
      </c:lineChart>
      <c:catAx>
        <c:axId val="34876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69900"/>
        <c:crosses val="autoZero"/>
        <c:auto val="1"/>
        <c:lblAlgn val="ctr"/>
        <c:lblOffset val="100"/>
        <c:noMultiLvlLbl val="0"/>
      </c:catAx>
      <c:valAx>
        <c:axId val="69669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76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5</xdr:col>
      <xdr:colOff>291960</xdr:colOff>
      <xdr:row>38</xdr:row>
      <xdr:rowOff>170640</xdr:rowOff>
    </xdr:to>
    <xdr:graphicFrame>
      <xdr:nvGraphicFramePr>
        <xdr:cNvPr id="0" name="Chart 1"/>
        <xdr:cNvGraphicFramePr/>
      </xdr:nvGraphicFramePr>
      <xdr:xfrm>
        <a:off x="0" y="5391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17</xdr:col>
      <xdr:colOff>385560</xdr:colOff>
      <xdr:row>38</xdr:row>
      <xdr:rowOff>170640</xdr:rowOff>
    </xdr:to>
    <xdr:graphicFrame>
      <xdr:nvGraphicFramePr>
        <xdr:cNvPr id="1" name="Chart 2"/>
        <xdr:cNvGraphicFramePr/>
      </xdr:nvGraphicFramePr>
      <xdr:xfrm>
        <a:off x="9304200" y="5391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18</xdr:col>
      <xdr:colOff>364320</xdr:colOff>
      <xdr:row>19</xdr:row>
      <xdr:rowOff>37440</xdr:rowOff>
    </xdr:to>
    <xdr:graphicFrame>
      <xdr:nvGraphicFramePr>
        <xdr:cNvPr id="2" name="Chart 1"/>
        <xdr:cNvGraphicFramePr/>
      </xdr:nvGraphicFramePr>
      <xdr:xfrm>
        <a:off x="850572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0</xdr:rowOff>
    </xdr:from>
    <xdr:to>
      <xdr:col>18</xdr:col>
      <xdr:colOff>364320</xdr:colOff>
      <xdr:row>36</xdr:row>
      <xdr:rowOff>170640</xdr:rowOff>
    </xdr:to>
    <xdr:graphicFrame>
      <xdr:nvGraphicFramePr>
        <xdr:cNvPr id="3" name="Chart 2"/>
        <xdr:cNvGraphicFramePr/>
      </xdr:nvGraphicFramePr>
      <xdr:xfrm>
        <a:off x="8505720" y="3943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19</xdr:row>
      <xdr:rowOff>37440</xdr:rowOff>
    </xdr:to>
    <xdr:graphicFrame>
      <xdr:nvGraphicFramePr>
        <xdr:cNvPr id="4" name="Chart 1"/>
        <xdr:cNvGraphicFramePr/>
      </xdr:nvGraphicFramePr>
      <xdr:xfrm>
        <a:off x="822384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17</xdr:col>
      <xdr:colOff>364680</xdr:colOff>
      <xdr:row>36</xdr:row>
      <xdr:rowOff>170640</xdr:rowOff>
    </xdr:to>
    <xdr:graphicFrame>
      <xdr:nvGraphicFramePr>
        <xdr:cNvPr id="5" name="Chart 2"/>
        <xdr:cNvGraphicFramePr/>
      </xdr:nvGraphicFramePr>
      <xdr:xfrm>
        <a:off x="8223840" y="3943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19</xdr:row>
      <xdr:rowOff>37440</xdr:rowOff>
    </xdr:to>
    <xdr:graphicFrame>
      <xdr:nvGraphicFramePr>
        <xdr:cNvPr id="6" name="Chart 1"/>
        <xdr:cNvGraphicFramePr/>
      </xdr:nvGraphicFramePr>
      <xdr:xfrm>
        <a:off x="906984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17</xdr:col>
      <xdr:colOff>364680</xdr:colOff>
      <xdr:row>36</xdr:row>
      <xdr:rowOff>170640</xdr:rowOff>
    </xdr:to>
    <xdr:graphicFrame>
      <xdr:nvGraphicFramePr>
        <xdr:cNvPr id="7" name="Chart 2"/>
        <xdr:cNvGraphicFramePr/>
      </xdr:nvGraphicFramePr>
      <xdr:xfrm>
        <a:off x="9069840" y="3943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19</xdr:row>
      <xdr:rowOff>37440</xdr:rowOff>
    </xdr:to>
    <xdr:graphicFrame>
      <xdr:nvGraphicFramePr>
        <xdr:cNvPr id="8" name="Chart 1"/>
        <xdr:cNvGraphicFramePr/>
      </xdr:nvGraphicFramePr>
      <xdr:xfrm>
        <a:off x="906984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17</xdr:col>
      <xdr:colOff>364680</xdr:colOff>
      <xdr:row>36</xdr:row>
      <xdr:rowOff>170640</xdr:rowOff>
    </xdr:to>
    <xdr:graphicFrame>
      <xdr:nvGraphicFramePr>
        <xdr:cNvPr id="9" name="Chart 2"/>
        <xdr:cNvGraphicFramePr/>
      </xdr:nvGraphicFramePr>
      <xdr:xfrm>
        <a:off x="9069840" y="3943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19</xdr:row>
      <xdr:rowOff>37440</xdr:rowOff>
    </xdr:to>
    <xdr:graphicFrame>
      <xdr:nvGraphicFramePr>
        <xdr:cNvPr id="10" name="Chart 1"/>
        <xdr:cNvGraphicFramePr/>
      </xdr:nvGraphicFramePr>
      <xdr:xfrm>
        <a:off x="822384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17</xdr:col>
      <xdr:colOff>364680</xdr:colOff>
      <xdr:row>36</xdr:row>
      <xdr:rowOff>170640</xdr:rowOff>
    </xdr:to>
    <xdr:graphicFrame>
      <xdr:nvGraphicFramePr>
        <xdr:cNvPr id="11" name="Chart 2"/>
        <xdr:cNvGraphicFramePr/>
      </xdr:nvGraphicFramePr>
      <xdr:xfrm>
        <a:off x="8223840" y="3943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16" min="7" style="0" width="11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4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  <c r="M4" s="7" t="s">
        <v>6</v>
      </c>
      <c r="N4" s="7"/>
      <c r="O4" s="7"/>
    </row>
    <row r="5" customFormat="false" ht="18" hidden="false" customHeight="true" outlineLevel="0" collapsed="false">
      <c r="A5" s="8" t="s">
        <v>7</v>
      </c>
      <c r="B5" s="8"/>
      <c r="C5" s="8"/>
      <c r="D5" s="9" t="s">
        <v>8</v>
      </c>
      <c r="E5" s="9"/>
      <c r="F5" s="9"/>
      <c r="G5" s="10" t="s">
        <v>9</v>
      </c>
      <c r="H5" s="10"/>
      <c r="I5" s="10"/>
      <c r="J5" s="11" t="s">
        <v>10</v>
      </c>
      <c r="K5" s="11"/>
      <c r="L5" s="11"/>
      <c r="M5" s="12" t="s">
        <v>11</v>
      </c>
      <c r="N5" s="12"/>
      <c r="O5" s="12"/>
    </row>
    <row r="6" customFormat="false" ht="30" hidden="false" customHeight="true" outlineLevel="0" collapsed="false">
      <c r="A6" s="13" t="n">
        <f aca="false">DATA_HigherMgmt!C8/DATA_HigherMgmt!B8</f>
        <v>0.87</v>
      </c>
      <c r="B6" s="13"/>
      <c r="C6" s="13"/>
      <c r="D6" s="14" t="n">
        <f aca="false">DATA_MidMgmt!C8/DATA_MidMgmt!B8</f>
        <v>0.955555555555556</v>
      </c>
      <c r="E6" s="14"/>
      <c r="F6" s="14"/>
      <c r="G6" s="15" t="n">
        <f aca="false">DATA_Developers!C8/DATA_Developers!B8</f>
        <v>0.788888888888889</v>
      </c>
      <c r="H6" s="15"/>
      <c r="I6" s="15"/>
      <c r="J6" s="16" t="n">
        <f aca="false">DATA_PRReviewers!C8/DATA_PRReviewers!B8</f>
        <v>0.822222222222222</v>
      </c>
      <c r="K6" s="16"/>
      <c r="L6" s="16"/>
      <c r="M6" s="17" t="n">
        <f aca="false">DATA_NewJoinees!C8</f>
        <v>4.2</v>
      </c>
      <c r="N6" s="17"/>
      <c r="O6" s="17"/>
    </row>
    <row r="7" customFormat="false" ht="18" hidden="false" customHeight="true" outlineLevel="0" collapsed="false">
      <c r="A7" s="8" t="s">
        <v>12</v>
      </c>
      <c r="B7" s="8"/>
      <c r="C7" s="8"/>
      <c r="D7" s="9" t="s">
        <v>13</v>
      </c>
      <c r="E7" s="9"/>
      <c r="F7" s="9"/>
      <c r="G7" s="10" t="s">
        <v>14</v>
      </c>
      <c r="H7" s="10"/>
      <c r="I7" s="10"/>
      <c r="J7" s="11" t="s">
        <v>15</v>
      </c>
      <c r="K7" s="11"/>
      <c r="L7" s="11"/>
      <c r="M7" s="12" t="s">
        <v>16</v>
      </c>
      <c r="N7" s="12"/>
      <c r="O7" s="12"/>
    </row>
    <row r="8" customFormat="false" ht="30" hidden="false" customHeight="true" outlineLevel="0" collapsed="false">
      <c r="A8" s="18" t="n">
        <f aca="false">DATA_HigherMgmt!D8</f>
        <v>248</v>
      </c>
      <c r="B8" s="18"/>
      <c r="C8" s="18"/>
      <c r="D8" s="14" t="n">
        <f aca="false">DATA_MidMgmt!D8/100</f>
        <v>0.956</v>
      </c>
      <c r="E8" s="14"/>
      <c r="F8" s="14"/>
      <c r="G8" s="19" t="n">
        <f aca="false">DATA_Developers!D8</f>
        <v>26</v>
      </c>
      <c r="H8" s="19"/>
      <c r="I8" s="19"/>
      <c r="J8" s="20" t="n">
        <f aca="false">DATA_PRReviewers!D8</f>
        <v>2.9</v>
      </c>
      <c r="K8" s="20"/>
      <c r="L8" s="20"/>
      <c r="M8" s="17" t="n">
        <f aca="false">DATA_NewJoinees!D8</f>
        <v>3.6</v>
      </c>
      <c r="N8" s="17"/>
      <c r="O8" s="17"/>
    </row>
    <row r="9" customFormat="false" ht="18" hidden="false" customHeight="true" outlineLevel="0" collapsed="false">
      <c r="A9" s="8" t="s">
        <v>17</v>
      </c>
      <c r="B9" s="8"/>
      <c r="C9" s="8"/>
      <c r="D9" s="9" t="s">
        <v>18</v>
      </c>
      <c r="E9" s="9"/>
      <c r="F9" s="9"/>
      <c r="G9" s="10" t="s">
        <v>19</v>
      </c>
      <c r="H9" s="10"/>
      <c r="I9" s="10"/>
      <c r="J9" s="11" t="s">
        <v>20</v>
      </c>
      <c r="K9" s="11"/>
      <c r="L9" s="11"/>
      <c r="M9" s="12" t="s">
        <v>21</v>
      </c>
      <c r="N9" s="12"/>
      <c r="O9" s="12"/>
    </row>
    <row r="10" customFormat="false" ht="30" hidden="false" customHeight="true" outlineLevel="0" collapsed="false">
      <c r="A10" s="18" t="n">
        <f aca="false">DATA_HigherMgmt!G8</f>
        <v>56</v>
      </c>
      <c r="B10" s="18"/>
      <c r="C10" s="18"/>
      <c r="D10" s="21" t="n">
        <f aca="false">DATA_MidMgmt!E8</f>
        <v>1.6</v>
      </c>
      <c r="E10" s="21"/>
      <c r="F10" s="21"/>
      <c r="G10" s="22" t="n">
        <f aca="false">DATA_Developers!E8</f>
        <v>12.4</v>
      </c>
      <c r="H10" s="22"/>
      <c r="I10" s="22"/>
      <c r="J10" s="20" t="n">
        <f aca="false">DATA_PRReviewers!E8</f>
        <v>1.2</v>
      </c>
      <c r="K10" s="20"/>
      <c r="L10" s="20"/>
      <c r="M10" s="17" t="n">
        <f aca="false">DATA_NewJoinees!F8</f>
        <v>5</v>
      </c>
      <c r="N10" s="17"/>
      <c r="O10" s="17"/>
    </row>
    <row r="12" customFormat="false" ht="24" hidden="false" customHeight="true" outlineLevel="0" collapsed="false">
      <c r="A12" s="23" t="s">
        <v>22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customFormat="false" ht="15" hidden="false" customHeight="false" outlineLevel="0" collapsed="false">
      <c r="A13" s="24" t="s">
        <v>23</v>
      </c>
      <c r="B13" s="24" t="s">
        <v>24</v>
      </c>
      <c r="C13" s="24" t="s">
        <v>25</v>
      </c>
      <c r="D13" s="24" t="s">
        <v>26</v>
      </c>
      <c r="E13" s="24" t="s">
        <v>27</v>
      </c>
      <c r="F13" s="24" t="s">
        <v>28</v>
      </c>
    </row>
    <row r="14" customFormat="false" ht="19.5" hidden="false" customHeight="true" outlineLevel="0" collapsed="false">
      <c r="A14" s="25" t="s">
        <v>29</v>
      </c>
      <c r="B14" s="26" t="s">
        <v>30</v>
      </c>
      <c r="C14" s="26" t="str">
        <f aca="false">DATA_Developers!E8&amp;" hrs"</f>
        <v>12.4 hrs</v>
      </c>
      <c r="D14" s="26"/>
      <c r="E14" s="26" t="s">
        <v>31</v>
      </c>
      <c r="F14" s="26" t="s">
        <v>32</v>
      </c>
    </row>
    <row r="15" customFormat="false" ht="19.5" hidden="false" customHeight="true" outlineLevel="0" collapsed="false">
      <c r="A15" s="27" t="s">
        <v>33</v>
      </c>
      <c r="B15" s="28" t="n">
        <f aca="false">DATA_HigherMgmt!C3/DATA_HigherMgmt!B3</f>
        <v>0.26</v>
      </c>
      <c r="C15" s="28" t="n">
        <f aca="false">DATA_HigherMgmt!C8/DATA_HigherMgmt!B8</f>
        <v>0.87</v>
      </c>
      <c r="D15" s="29"/>
      <c r="E15" s="29" t="s">
        <v>34</v>
      </c>
      <c r="F15" s="29" t="s">
        <v>35</v>
      </c>
    </row>
    <row r="16" customFormat="false" ht="19.5" hidden="false" customHeight="true" outlineLevel="0" collapsed="false">
      <c r="A16" s="25" t="s">
        <v>36</v>
      </c>
      <c r="B16" s="30" t="n">
        <f aca="false">DATA_MidMgmt!E3</f>
        <v>3.2</v>
      </c>
      <c r="C16" s="30" t="n">
        <f aca="false">DATA_MidMgmt!E8</f>
        <v>1.6</v>
      </c>
      <c r="D16" s="26"/>
      <c r="E16" s="26" t="s">
        <v>37</v>
      </c>
      <c r="F16" s="26" t="s">
        <v>35</v>
      </c>
    </row>
    <row r="17" customFormat="false" ht="19.5" hidden="false" customHeight="true" outlineLevel="0" collapsed="false">
      <c r="A17" s="27" t="s">
        <v>38</v>
      </c>
      <c r="B17" s="31" t="n">
        <f aca="false">DATA_PRReviewers!D3</f>
        <v>7.2</v>
      </c>
      <c r="C17" s="31" t="n">
        <f aca="false">DATA_PRReviewers!D8</f>
        <v>2.9</v>
      </c>
      <c r="D17" s="29"/>
      <c r="E17" s="29" t="s">
        <v>39</v>
      </c>
      <c r="F17" s="29" t="s">
        <v>35</v>
      </c>
    </row>
    <row r="18" customFormat="false" ht="19.5" hidden="false" customHeight="true" outlineLevel="0" collapsed="false">
      <c r="A18" s="25" t="s">
        <v>40</v>
      </c>
      <c r="B18" s="32" t="n">
        <f aca="false">DATA_NewJoinees!D3</f>
        <v>9.4</v>
      </c>
      <c r="C18" s="32" t="n">
        <f aca="false">DATA_NewJoinees!D8</f>
        <v>3.6</v>
      </c>
      <c r="D18" s="26"/>
      <c r="E18" s="26" t="s">
        <v>41</v>
      </c>
      <c r="F18" s="26" t="s">
        <v>32</v>
      </c>
    </row>
    <row r="19" customFormat="false" ht="19.5" hidden="false" customHeight="true" outlineLevel="0" collapsed="false">
      <c r="A19" s="27" t="s">
        <v>42</v>
      </c>
      <c r="B19" s="29" t="n">
        <f aca="false">DATA_PRReviewers!C3/DATA_PRReviewers!B3</f>
        <v>0.233333333333333</v>
      </c>
      <c r="C19" s="29" t="n">
        <f aca="false">DATA_PRReviewers!C8/DATA_PRReviewers!B8</f>
        <v>0.822222222222222</v>
      </c>
      <c r="D19" s="29"/>
      <c r="E19" s="29" t="s">
        <v>43</v>
      </c>
      <c r="F19" s="29" t="s">
        <v>32</v>
      </c>
    </row>
  </sheetData>
  <mergeCells count="38">
    <mergeCell ref="A1:P1"/>
    <mergeCell ref="A2:P2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6:C6"/>
    <mergeCell ref="D6:F6"/>
    <mergeCell ref="G6:I6"/>
    <mergeCell ref="J6:L6"/>
    <mergeCell ref="M6:O6"/>
    <mergeCell ref="A7:C7"/>
    <mergeCell ref="D7:F7"/>
    <mergeCell ref="G7:I7"/>
    <mergeCell ref="J7:L7"/>
    <mergeCell ref="M7:O7"/>
    <mergeCell ref="A8:C8"/>
    <mergeCell ref="D8:F8"/>
    <mergeCell ref="G8:I8"/>
    <mergeCell ref="J8:L8"/>
    <mergeCell ref="M8:O8"/>
    <mergeCell ref="A9:C9"/>
    <mergeCell ref="D9:F9"/>
    <mergeCell ref="G9:I9"/>
    <mergeCell ref="J9:L9"/>
    <mergeCell ref="M9:O9"/>
    <mergeCell ref="A10:C10"/>
    <mergeCell ref="D10:F10"/>
    <mergeCell ref="G10:I10"/>
    <mergeCell ref="J10:L10"/>
    <mergeCell ref="M10:O10"/>
    <mergeCell ref="A12:P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6.15" hidden="false" customHeight="false" outlineLevel="0" collapsed="false">
      <c r="A1" s="33" t="s">
        <v>44</v>
      </c>
      <c r="B1" s="33"/>
      <c r="C1" s="33"/>
      <c r="D1" s="33"/>
      <c r="E1" s="33"/>
      <c r="F1" s="33"/>
      <c r="G1" s="33"/>
    </row>
    <row r="2" customFormat="false" ht="28.35" hidden="false" customHeight="false" outlineLevel="0" collapsed="false">
      <c r="A2" s="34" t="s">
        <v>45</v>
      </c>
      <c r="B2" s="34" t="s">
        <v>46</v>
      </c>
      <c r="C2" s="34" t="s">
        <v>47</v>
      </c>
      <c r="D2" s="34" t="s">
        <v>48</v>
      </c>
      <c r="E2" s="34" t="s">
        <v>49</v>
      </c>
      <c r="F2" s="34" t="s">
        <v>50</v>
      </c>
      <c r="G2" s="34" t="s">
        <v>51</v>
      </c>
    </row>
    <row r="3" customFormat="false" ht="15" hidden="false" customHeight="false" outlineLevel="0" collapsed="false">
      <c r="A3" s="27" t="s">
        <v>52</v>
      </c>
      <c r="B3" s="29" t="n">
        <v>200</v>
      </c>
      <c r="C3" s="29" t="n">
        <v>52</v>
      </c>
      <c r="D3" s="29" t="n">
        <v>38</v>
      </c>
      <c r="E3" s="29" t="n">
        <v>18</v>
      </c>
      <c r="F3" s="29" t="n">
        <v>14</v>
      </c>
      <c r="G3" s="29" t="n">
        <v>6</v>
      </c>
    </row>
    <row r="4" customFormat="false" ht="15" hidden="false" customHeight="false" outlineLevel="0" collapsed="false">
      <c r="A4" s="25" t="s">
        <v>53</v>
      </c>
      <c r="B4" s="26" t="n">
        <v>200</v>
      </c>
      <c r="C4" s="26" t="n">
        <v>80</v>
      </c>
      <c r="D4" s="26" t="n">
        <v>74</v>
      </c>
      <c r="E4" s="26" t="n">
        <v>34</v>
      </c>
      <c r="F4" s="26" t="n">
        <v>28</v>
      </c>
      <c r="G4" s="26" t="n">
        <v>12</v>
      </c>
    </row>
    <row r="5" customFormat="false" ht="15" hidden="false" customHeight="false" outlineLevel="0" collapsed="false">
      <c r="A5" s="27" t="s">
        <v>54</v>
      </c>
      <c r="B5" s="29" t="n">
        <v>200</v>
      </c>
      <c r="C5" s="29" t="n">
        <v>110</v>
      </c>
      <c r="D5" s="29" t="n">
        <v>115</v>
      </c>
      <c r="E5" s="29" t="n">
        <v>52</v>
      </c>
      <c r="F5" s="29" t="n">
        <v>42</v>
      </c>
      <c r="G5" s="29" t="n">
        <v>21</v>
      </c>
    </row>
    <row r="6" customFormat="false" ht="15" hidden="false" customHeight="false" outlineLevel="0" collapsed="false">
      <c r="A6" s="25" t="s">
        <v>55</v>
      </c>
      <c r="B6" s="26" t="n">
        <v>200</v>
      </c>
      <c r="C6" s="26" t="n">
        <v>138</v>
      </c>
      <c r="D6" s="26" t="n">
        <v>162</v>
      </c>
      <c r="E6" s="26" t="n">
        <v>68</v>
      </c>
      <c r="F6" s="26" t="n">
        <v>62</v>
      </c>
      <c r="G6" s="26" t="n">
        <v>32</v>
      </c>
    </row>
    <row r="7" customFormat="false" ht="15" hidden="false" customHeight="false" outlineLevel="0" collapsed="false">
      <c r="A7" s="27" t="s">
        <v>56</v>
      </c>
      <c r="B7" s="29" t="n">
        <v>200</v>
      </c>
      <c r="C7" s="29" t="n">
        <v>158</v>
      </c>
      <c r="D7" s="29" t="n">
        <v>205</v>
      </c>
      <c r="E7" s="29" t="n">
        <v>82</v>
      </c>
      <c r="F7" s="29" t="n">
        <v>82</v>
      </c>
      <c r="G7" s="29" t="n">
        <v>41</v>
      </c>
    </row>
    <row r="8" customFormat="false" ht="15" hidden="false" customHeight="false" outlineLevel="0" collapsed="false">
      <c r="A8" s="25" t="s">
        <v>57</v>
      </c>
      <c r="B8" s="26" t="n">
        <v>200</v>
      </c>
      <c r="C8" s="26" t="n">
        <v>174</v>
      </c>
      <c r="D8" s="26" t="n">
        <v>248</v>
      </c>
      <c r="E8" s="26" t="n">
        <v>94</v>
      </c>
      <c r="F8" s="26" t="n">
        <v>98</v>
      </c>
      <c r="G8" s="26" t="n">
        <v>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6.15" hidden="false" customHeight="false" outlineLevel="0" collapsed="false">
      <c r="A1" s="35" t="s">
        <v>58</v>
      </c>
      <c r="B1" s="35"/>
      <c r="C1" s="35"/>
      <c r="D1" s="35"/>
      <c r="E1" s="35"/>
      <c r="F1" s="35"/>
    </row>
    <row r="2" customFormat="false" ht="28.35" hidden="false" customHeight="false" outlineLevel="0" collapsed="false">
      <c r="A2" s="36" t="s">
        <v>45</v>
      </c>
      <c r="B2" s="36" t="s">
        <v>59</v>
      </c>
      <c r="C2" s="36" t="s">
        <v>60</v>
      </c>
      <c r="D2" s="36" t="s">
        <v>61</v>
      </c>
      <c r="E2" s="36" t="s">
        <v>62</v>
      </c>
      <c r="F2" s="36" t="s">
        <v>63</v>
      </c>
    </row>
    <row r="3" customFormat="false" ht="15" hidden="false" customHeight="false" outlineLevel="0" collapsed="false">
      <c r="A3" s="27" t="s">
        <v>52</v>
      </c>
      <c r="B3" s="29" t="n">
        <v>120</v>
      </c>
      <c r="C3" s="29" t="n">
        <v>84</v>
      </c>
      <c r="D3" s="29" t="n">
        <v>70</v>
      </c>
      <c r="E3" s="29" t="n">
        <v>3.2</v>
      </c>
      <c r="F3" s="29" t="n">
        <v>28</v>
      </c>
    </row>
    <row r="4" customFormat="false" ht="15" hidden="false" customHeight="false" outlineLevel="0" collapsed="false">
      <c r="A4" s="25" t="s">
        <v>53</v>
      </c>
      <c r="B4" s="26" t="n">
        <v>135</v>
      </c>
      <c r="C4" s="26" t="n">
        <v>108</v>
      </c>
      <c r="D4" s="26" t="n">
        <v>80</v>
      </c>
      <c r="E4" s="26" t="n">
        <v>2.8</v>
      </c>
      <c r="F4" s="26" t="n">
        <v>41</v>
      </c>
    </row>
    <row r="5" customFormat="false" ht="15" hidden="false" customHeight="false" outlineLevel="0" collapsed="false">
      <c r="A5" s="27" t="s">
        <v>54</v>
      </c>
      <c r="B5" s="29" t="n">
        <v>148</v>
      </c>
      <c r="C5" s="29" t="n">
        <v>130</v>
      </c>
      <c r="D5" s="29" t="n">
        <v>87.8</v>
      </c>
      <c r="E5" s="29" t="n">
        <v>2.4</v>
      </c>
      <c r="F5" s="29" t="n">
        <v>52</v>
      </c>
    </row>
    <row r="6" customFormat="false" ht="15" hidden="false" customHeight="false" outlineLevel="0" collapsed="false">
      <c r="A6" s="25" t="s">
        <v>55</v>
      </c>
      <c r="B6" s="26" t="n">
        <v>160</v>
      </c>
      <c r="C6" s="26" t="n">
        <v>147</v>
      </c>
      <c r="D6" s="26" t="n">
        <v>91.9</v>
      </c>
      <c r="E6" s="26" t="n">
        <v>2.1</v>
      </c>
      <c r="F6" s="26" t="n">
        <v>48</v>
      </c>
    </row>
    <row r="7" customFormat="false" ht="15" hidden="false" customHeight="false" outlineLevel="0" collapsed="false">
      <c r="A7" s="27" t="s">
        <v>56</v>
      </c>
      <c r="B7" s="29" t="n">
        <v>172</v>
      </c>
      <c r="C7" s="29" t="n">
        <v>162</v>
      </c>
      <c r="D7" s="29" t="n">
        <v>94.2</v>
      </c>
      <c r="E7" s="29" t="n">
        <v>1.8</v>
      </c>
      <c r="F7" s="29" t="n">
        <v>39</v>
      </c>
    </row>
    <row r="8" customFormat="false" ht="15" hidden="false" customHeight="false" outlineLevel="0" collapsed="false">
      <c r="A8" s="25" t="s">
        <v>57</v>
      </c>
      <c r="B8" s="26" t="n">
        <v>180</v>
      </c>
      <c r="C8" s="26" t="n">
        <v>172</v>
      </c>
      <c r="D8" s="26" t="n">
        <v>95.6</v>
      </c>
      <c r="E8" s="26" t="n">
        <v>1.6</v>
      </c>
      <c r="F8" s="26" t="n">
        <v>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8"/>
  </cols>
  <sheetData>
    <row r="1" customFormat="false" ht="16.15" hidden="false" customHeight="false" outlineLevel="0" collapsed="false">
      <c r="A1" s="37" t="s">
        <v>64</v>
      </c>
      <c r="B1" s="37"/>
      <c r="C1" s="37"/>
      <c r="D1" s="37"/>
      <c r="E1" s="37"/>
      <c r="F1" s="37"/>
    </row>
    <row r="2" customFormat="false" ht="28.35" hidden="false" customHeight="false" outlineLevel="0" collapsed="false">
      <c r="A2" s="38" t="s">
        <v>45</v>
      </c>
      <c r="B2" s="38" t="s">
        <v>59</v>
      </c>
      <c r="C2" s="38" t="s">
        <v>65</v>
      </c>
      <c r="D2" s="38" t="s">
        <v>66</v>
      </c>
      <c r="E2" s="38" t="s">
        <v>67</v>
      </c>
      <c r="F2" s="38" t="s">
        <v>68</v>
      </c>
    </row>
    <row r="3" customFormat="false" ht="15" hidden="false" customHeight="false" outlineLevel="0" collapsed="false">
      <c r="A3" s="27" t="s">
        <v>52</v>
      </c>
      <c r="B3" s="29" t="n">
        <v>120</v>
      </c>
      <c r="C3" s="29" t="n">
        <v>34</v>
      </c>
      <c r="D3" s="29" t="n">
        <v>62</v>
      </c>
      <c r="E3" s="29" t="n">
        <v>28.4</v>
      </c>
      <c r="F3" s="29" t="n">
        <v>8</v>
      </c>
    </row>
    <row r="4" customFormat="false" ht="15" hidden="false" customHeight="false" outlineLevel="0" collapsed="false">
      <c r="A4" s="25" t="s">
        <v>53</v>
      </c>
      <c r="B4" s="26" t="n">
        <v>135</v>
      </c>
      <c r="C4" s="26" t="n">
        <v>58</v>
      </c>
      <c r="D4" s="26" t="n">
        <v>54</v>
      </c>
      <c r="E4" s="26" t="n">
        <v>24.2</v>
      </c>
      <c r="F4" s="26" t="n">
        <v>17</v>
      </c>
    </row>
    <row r="5" customFormat="false" ht="15" hidden="false" customHeight="false" outlineLevel="0" collapsed="false">
      <c r="A5" s="27" t="s">
        <v>54</v>
      </c>
      <c r="B5" s="29" t="n">
        <v>148</v>
      </c>
      <c r="C5" s="29" t="n">
        <v>82</v>
      </c>
      <c r="D5" s="29" t="n">
        <v>44</v>
      </c>
      <c r="E5" s="29" t="n">
        <v>20.6</v>
      </c>
      <c r="F5" s="29" t="n">
        <v>29</v>
      </c>
    </row>
    <row r="6" customFormat="false" ht="15" hidden="false" customHeight="false" outlineLevel="0" collapsed="false">
      <c r="A6" s="25" t="s">
        <v>55</v>
      </c>
      <c r="B6" s="26" t="n">
        <v>160</v>
      </c>
      <c r="C6" s="26" t="n">
        <v>104</v>
      </c>
      <c r="D6" s="26" t="n">
        <v>38</v>
      </c>
      <c r="E6" s="26" t="n">
        <v>17.2</v>
      </c>
      <c r="F6" s="26" t="n">
        <v>38</v>
      </c>
    </row>
    <row r="7" customFormat="false" ht="15" hidden="false" customHeight="false" outlineLevel="0" collapsed="false">
      <c r="A7" s="27" t="s">
        <v>56</v>
      </c>
      <c r="B7" s="29" t="n">
        <v>172</v>
      </c>
      <c r="C7" s="29" t="n">
        <v>124</v>
      </c>
      <c r="D7" s="29" t="n">
        <v>32</v>
      </c>
      <c r="E7" s="29" t="n">
        <v>14.8</v>
      </c>
      <c r="F7" s="29" t="n">
        <v>44</v>
      </c>
    </row>
    <row r="8" customFormat="false" ht="15" hidden="false" customHeight="false" outlineLevel="0" collapsed="false">
      <c r="A8" s="25" t="s">
        <v>57</v>
      </c>
      <c r="B8" s="26" t="n">
        <v>180</v>
      </c>
      <c r="C8" s="26" t="n">
        <v>142</v>
      </c>
      <c r="D8" s="26" t="n">
        <v>26</v>
      </c>
      <c r="E8" s="26" t="n">
        <v>12.4</v>
      </c>
      <c r="F8" s="26" t="n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16.15" hidden="false" customHeight="false" outlineLevel="0" collapsed="false">
      <c r="A1" s="39" t="s">
        <v>69</v>
      </c>
      <c r="B1" s="39"/>
      <c r="C1" s="39"/>
      <c r="D1" s="39"/>
      <c r="E1" s="39"/>
      <c r="F1" s="39"/>
    </row>
    <row r="2" customFormat="false" ht="15" hidden="false" customHeight="false" outlineLevel="0" collapsed="false">
      <c r="A2" s="40" t="s">
        <v>45</v>
      </c>
      <c r="B2" s="40" t="s">
        <v>70</v>
      </c>
      <c r="C2" s="40" t="s">
        <v>71</v>
      </c>
      <c r="D2" s="40" t="s">
        <v>72</v>
      </c>
      <c r="E2" s="40" t="s">
        <v>73</v>
      </c>
      <c r="F2" s="40" t="s">
        <v>74</v>
      </c>
    </row>
    <row r="3" customFormat="false" ht="15" hidden="false" customHeight="false" outlineLevel="0" collapsed="false">
      <c r="A3" s="27" t="s">
        <v>52</v>
      </c>
      <c r="B3" s="29" t="n">
        <v>120</v>
      </c>
      <c r="C3" s="29" t="n">
        <v>28</v>
      </c>
      <c r="D3" s="29" t="n">
        <v>7.2</v>
      </c>
      <c r="E3" s="29" t="n">
        <v>2.8</v>
      </c>
      <c r="F3" s="29" t="n">
        <v>12</v>
      </c>
    </row>
    <row r="4" customFormat="false" ht="15" hidden="false" customHeight="false" outlineLevel="0" collapsed="false">
      <c r="A4" s="25" t="s">
        <v>53</v>
      </c>
      <c r="B4" s="26" t="n">
        <v>135</v>
      </c>
      <c r="C4" s="26" t="n">
        <v>52</v>
      </c>
      <c r="D4" s="26" t="n">
        <v>6.1</v>
      </c>
      <c r="E4" s="26" t="n">
        <v>2.4</v>
      </c>
      <c r="F4" s="26" t="n">
        <v>9</v>
      </c>
    </row>
    <row r="5" customFormat="false" ht="15" hidden="false" customHeight="false" outlineLevel="0" collapsed="false">
      <c r="A5" s="27" t="s">
        <v>54</v>
      </c>
      <c r="B5" s="29" t="n">
        <v>148</v>
      </c>
      <c r="C5" s="29" t="n">
        <v>78</v>
      </c>
      <c r="D5" s="29" t="n">
        <v>5.2</v>
      </c>
      <c r="E5" s="29" t="n">
        <v>2</v>
      </c>
      <c r="F5" s="29" t="n">
        <v>7</v>
      </c>
    </row>
    <row r="6" customFormat="false" ht="15" hidden="false" customHeight="false" outlineLevel="0" collapsed="false">
      <c r="A6" s="25" t="s">
        <v>55</v>
      </c>
      <c r="B6" s="26" t="n">
        <v>160</v>
      </c>
      <c r="C6" s="26" t="n">
        <v>104</v>
      </c>
      <c r="D6" s="26" t="n">
        <v>4.4</v>
      </c>
      <c r="E6" s="26" t="n">
        <v>1.7</v>
      </c>
      <c r="F6" s="26" t="n">
        <v>5</v>
      </c>
    </row>
    <row r="7" customFormat="false" ht="15" hidden="false" customHeight="false" outlineLevel="0" collapsed="false">
      <c r="A7" s="27" t="s">
        <v>56</v>
      </c>
      <c r="B7" s="29" t="n">
        <v>172</v>
      </c>
      <c r="C7" s="29" t="n">
        <v>128</v>
      </c>
      <c r="D7" s="29" t="n">
        <v>3.6</v>
      </c>
      <c r="E7" s="29" t="n">
        <v>1.4</v>
      </c>
      <c r="F7" s="29" t="n">
        <v>3</v>
      </c>
    </row>
    <row r="8" customFormat="false" ht="15" hidden="false" customHeight="false" outlineLevel="0" collapsed="false">
      <c r="A8" s="25" t="s">
        <v>57</v>
      </c>
      <c r="B8" s="26" t="n">
        <v>180</v>
      </c>
      <c r="C8" s="26" t="n">
        <v>148</v>
      </c>
      <c r="D8" s="26" t="n">
        <v>2.9</v>
      </c>
      <c r="E8" s="26" t="n">
        <v>1.2</v>
      </c>
      <c r="F8" s="26" t="n">
        <v>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8"/>
  </cols>
  <sheetData>
    <row r="1" customFormat="false" ht="16.15" hidden="false" customHeight="false" outlineLevel="0" collapsed="false">
      <c r="A1" s="41" t="s">
        <v>75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42" t="s">
        <v>45</v>
      </c>
      <c r="B2" s="42" t="s">
        <v>76</v>
      </c>
      <c r="C2" s="42" t="s">
        <v>77</v>
      </c>
      <c r="D2" s="42" t="s">
        <v>78</v>
      </c>
      <c r="E2" s="42" t="s">
        <v>79</v>
      </c>
      <c r="F2" s="42" t="s">
        <v>80</v>
      </c>
    </row>
    <row r="3" customFormat="false" ht="15" hidden="false" customHeight="false" outlineLevel="0" collapsed="false">
      <c r="A3" s="27" t="s">
        <v>52</v>
      </c>
      <c r="B3" s="29" t="n">
        <v>12</v>
      </c>
      <c r="C3" s="29" t="n">
        <v>1.2</v>
      </c>
      <c r="D3" s="29" t="n">
        <v>9.4</v>
      </c>
      <c r="E3" s="29" t="n">
        <v>14.2</v>
      </c>
      <c r="F3" s="29" t="n">
        <v>22</v>
      </c>
    </row>
    <row r="4" customFormat="false" ht="15" hidden="false" customHeight="false" outlineLevel="0" collapsed="false">
      <c r="A4" s="25" t="s">
        <v>53</v>
      </c>
      <c r="B4" s="26" t="n">
        <v>12</v>
      </c>
      <c r="C4" s="26" t="n">
        <v>1.8</v>
      </c>
      <c r="D4" s="26" t="n">
        <v>8.1</v>
      </c>
      <c r="E4" s="26" t="n">
        <v>11.8</v>
      </c>
      <c r="F4" s="26" t="n">
        <v>18</v>
      </c>
    </row>
    <row r="5" customFormat="false" ht="15" hidden="false" customHeight="false" outlineLevel="0" collapsed="false">
      <c r="A5" s="27" t="s">
        <v>54</v>
      </c>
      <c r="B5" s="29" t="n">
        <v>12</v>
      </c>
      <c r="C5" s="29" t="n">
        <v>2.6</v>
      </c>
      <c r="D5" s="29" t="n">
        <v>6.8</v>
      </c>
      <c r="E5" s="29" t="n">
        <v>9.4</v>
      </c>
      <c r="F5" s="29" t="n">
        <v>14</v>
      </c>
    </row>
    <row r="6" customFormat="false" ht="15" hidden="false" customHeight="false" outlineLevel="0" collapsed="false">
      <c r="A6" s="25" t="s">
        <v>55</v>
      </c>
      <c r="B6" s="26" t="n">
        <v>12</v>
      </c>
      <c r="C6" s="26" t="n">
        <v>3.2</v>
      </c>
      <c r="D6" s="26" t="n">
        <v>5.6</v>
      </c>
      <c r="E6" s="26" t="n">
        <v>7.2</v>
      </c>
      <c r="F6" s="26" t="n">
        <v>10</v>
      </c>
    </row>
    <row r="7" customFormat="false" ht="15" hidden="false" customHeight="false" outlineLevel="0" collapsed="false">
      <c r="A7" s="27" t="s">
        <v>56</v>
      </c>
      <c r="B7" s="29" t="n">
        <v>12</v>
      </c>
      <c r="C7" s="29" t="n">
        <v>3.8</v>
      </c>
      <c r="D7" s="29" t="n">
        <v>4.4</v>
      </c>
      <c r="E7" s="29" t="n">
        <v>5.6</v>
      </c>
      <c r="F7" s="29" t="n">
        <v>7</v>
      </c>
    </row>
    <row r="8" customFormat="false" ht="15" hidden="false" customHeight="false" outlineLevel="0" collapsed="false">
      <c r="A8" s="25" t="s">
        <v>57</v>
      </c>
      <c r="B8" s="26" t="n">
        <v>12</v>
      </c>
      <c r="C8" s="26" t="n">
        <v>4.2</v>
      </c>
      <c r="D8" s="26" t="n">
        <v>3.6</v>
      </c>
      <c r="E8" s="26" t="n">
        <v>4.2</v>
      </c>
      <c r="F8" s="26" t="n">
        <v>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30" hidden="false" customHeight="true" outlineLevel="0" collapsed="false">
      <c r="A1" s="43" t="s">
        <v>81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customFormat="false" ht="19.5" hidden="false" customHeight="true" outlineLevel="0" collapsed="false">
      <c r="A3" s="44" t="s">
        <v>46</v>
      </c>
      <c r="B3" s="44"/>
      <c r="D3" s="44" t="s">
        <v>82</v>
      </c>
      <c r="E3" s="44"/>
      <c r="G3" s="44" t="s">
        <v>7</v>
      </c>
      <c r="H3" s="44"/>
      <c r="J3" s="44" t="s">
        <v>83</v>
      </c>
      <c r="K3" s="44"/>
    </row>
    <row r="4" customFormat="false" ht="36" hidden="false" customHeight="true" outlineLevel="0" collapsed="false">
      <c r="A4" s="45" t="n">
        <f aca="false">DATA_HigherMgmt!B8</f>
        <v>200</v>
      </c>
      <c r="B4" s="45"/>
      <c r="D4" s="45" t="n">
        <f aca="false">DATA_HigherMgmt!C8</f>
        <v>174</v>
      </c>
      <c r="E4" s="45"/>
      <c r="G4" s="46" t="n">
        <f aca="false">DATA_HigherMgmt!C8/DATA_HigherMgmt!B8</f>
        <v>0.87</v>
      </c>
      <c r="H4" s="46"/>
      <c r="J4" s="45" t="n">
        <f aca="false">DATA_HigherMgmt!D8</f>
        <v>248</v>
      </c>
      <c r="K4" s="45"/>
    </row>
    <row r="6" customFormat="false" ht="15" hidden="false" customHeight="false" outlineLevel="0" collapsed="false">
      <c r="A6" s="3" t="s">
        <v>84</v>
      </c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47" t="s">
        <v>45</v>
      </c>
      <c r="B7" s="47" t="s">
        <v>85</v>
      </c>
      <c r="C7" s="47" t="s">
        <v>86</v>
      </c>
      <c r="D7" s="47" t="s">
        <v>87</v>
      </c>
      <c r="E7" s="47" t="s">
        <v>49</v>
      </c>
      <c r="F7" s="47" t="s">
        <v>50</v>
      </c>
      <c r="G7" s="47" t="s">
        <v>88</v>
      </c>
    </row>
    <row r="8" customFormat="false" ht="15" hidden="false" customHeight="false" outlineLevel="0" collapsed="false">
      <c r="A8" s="25" t="str">
        <f aca="false">DATA_HigherMgmt!A3</f>
        <v>Month 1</v>
      </c>
      <c r="B8" s="26" t="n">
        <f aca="false">DATA_HigherMgmt!B3</f>
        <v>200</v>
      </c>
      <c r="C8" s="26" t="n">
        <f aca="false">DATA_HigherMgmt!C3</f>
        <v>52</v>
      </c>
      <c r="D8" s="32" t="n">
        <f aca="false">DATA_HigherMgmt!C3/DATA_HigherMgmt!B3</f>
        <v>0.26</v>
      </c>
      <c r="E8" s="26" t="n">
        <f aca="false">DATA_HigherMgmt!E3</f>
        <v>18</v>
      </c>
      <c r="F8" s="26" t="n">
        <f aca="false">DATA_HigherMgmt!F3</f>
        <v>14</v>
      </c>
      <c r="G8" s="26" t="n">
        <f aca="false">DATA_HigherMgmt!G3</f>
        <v>6</v>
      </c>
    </row>
    <row r="9" customFormat="false" ht="15" hidden="false" customHeight="false" outlineLevel="0" collapsed="false">
      <c r="A9" s="27" t="str">
        <f aca="false">DATA_HigherMgmt!A4</f>
        <v>Month 2</v>
      </c>
      <c r="B9" s="29" t="n">
        <f aca="false">DATA_HigherMgmt!B4</f>
        <v>200</v>
      </c>
      <c r="C9" s="29" t="n">
        <f aca="false">DATA_HigherMgmt!C4</f>
        <v>80</v>
      </c>
      <c r="D9" s="28" t="n">
        <f aca="false">DATA_HigherMgmt!C4/DATA_HigherMgmt!B4</f>
        <v>0.4</v>
      </c>
      <c r="E9" s="29" t="n">
        <f aca="false">DATA_HigherMgmt!E4</f>
        <v>34</v>
      </c>
      <c r="F9" s="29" t="n">
        <f aca="false">DATA_HigherMgmt!F4</f>
        <v>28</v>
      </c>
      <c r="G9" s="29" t="n">
        <f aca="false">DATA_HigherMgmt!G4</f>
        <v>12</v>
      </c>
    </row>
    <row r="10" customFormat="false" ht="15" hidden="false" customHeight="false" outlineLevel="0" collapsed="false">
      <c r="A10" s="25" t="str">
        <f aca="false">DATA_HigherMgmt!A5</f>
        <v>Month 3</v>
      </c>
      <c r="B10" s="26" t="n">
        <f aca="false">DATA_HigherMgmt!B5</f>
        <v>200</v>
      </c>
      <c r="C10" s="26" t="n">
        <f aca="false">DATA_HigherMgmt!C5</f>
        <v>110</v>
      </c>
      <c r="D10" s="32" t="n">
        <f aca="false">DATA_HigherMgmt!C5/DATA_HigherMgmt!B5</f>
        <v>0.55</v>
      </c>
      <c r="E10" s="26" t="n">
        <f aca="false">DATA_HigherMgmt!E5</f>
        <v>52</v>
      </c>
      <c r="F10" s="26" t="n">
        <f aca="false">DATA_HigherMgmt!F5</f>
        <v>42</v>
      </c>
      <c r="G10" s="26" t="n">
        <f aca="false">DATA_HigherMgmt!G5</f>
        <v>21</v>
      </c>
    </row>
    <row r="11" customFormat="false" ht="15" hidden="false" customHeight="false" outlineLevel="0" collapsed="false">
      <c r="A11" s="27" t="str">
        <f aca="false">DATA_HigherMgmt!A6</f>
        <v>Month 4</v>
      </c>
      <c r="B11" s="29" t="n">
        <f aca="false">DATA_HigherMgmt!B6</f>
        <v>200</v>
      </c>
      <c r="C11" s="29" t="n">
        <f aca="false">DATA_HigherMgmt!C6</f>
        <v>138</v>
      </c>
      <c r="D11" s="28" t="n">
        <f aca="false">DATA_HigherMgmt!C6/DATA_HigherMgmt!B6</f>
        <v>0.69</v>
      </c>
      <c r="E11" s="29" t="n">
        <f aca="false">DATA_HigherMgmt!E6</f>
        <v>68</v>
      </c>
      <c r="F11" s="29" t="n">
        <f aca="false">DATA_HigherMgmt!F6</f>
        <v>62</v>
      </c>
      <c r="G11" s="29" t="n">
        <f aca="false">DATA_HigherMgmt!G6</f>
        <v>32</v>
      </c>
    </row>
    <row r="12" customFormat="false" ht="15" hidden="false" customHeight="false" outlineLevel="0" collapsed="false">
      <c r="A12" s="25" t="str">
        <f aca="false">DATA_HigherMgmt!A7</f>
        <v>Month 5</v>
      </c>
      <c r="B12" s="26" t="n">
        <f aca="false">DATA_HigherMgmt!B7</f>
        <v>200</v>
      </c>
      <c r="C12" s="26" t="n">
        <f aca="false">DATA_HigherMgmt!C7</f>
        <v>158</v>
      </c>
      <c r="D12" s="32" t="n">
        <f aca="false">DATA_HigherMgmt!C7/DATA_HigherMgmt!B7</f>
        <v>0.79</v>
      </c>
      <c r="E12" s="26" t="n">
        <f aca="false">DATA_HigherMgmt!E7</f>
        <v>82</v>
      </c>
      <c r="F12" s="26" t="n">
        <f aca="false">DATA_HigherMgmt!F7</f>
        <v>82</v>
      </c>
      <c r="G12" s="26" t="n">
        <f aca="false">DATA_HigherMgmt!G7</f>
        <v>41</v>
      </c>
    </row>
    <row r="13" customFormat="false" ht="15" hidden="false" customHeight="false" outlineLevel="0" collapsed="false">
      <c r="A13" s="27" t="str">
        <f aca="false">DATA_HigherMgmt!A8</f>
        <v>Month 6</v>
      </c>
      <c r="B13" s="29" t="n">
        <f aca="false">DATA_HigherMgmt!B8</f>
        <v>200</v>
      </c>
      <c r="C13" s="29" t="n">
        <f aca="false">DATA_HigherMgmt!C8</f>
        <v>174</v>
      </c>
      <c r="D13" s="28" t="n">
        <f aca="false">DATA_HigherMgmt!C8/DATA_HigherMgmt!B8</f>
        <v>0.87</v>
      </c>
      <c r="E13" s="29" t="n">
        <f aca="false">DATA_HigherMgmt!E8</f>
        <v>94</v>
      </c>
      <c r="F13" s="29" t="n">
        <f aca="false">DATA_HigherMgmt!F8</f>
        <v>98</v>
      </c>
      <c r="G13" s="29" t="n">
        <f aca="false">DATA_HigherMgmt!G8</f>
        <v>56</v>
      </c>
    </row>
  </sheetData>
  <mergeCells count="10">
    <mergeCell ref="A1:L1"/>
    <mergeCell ref="A3:B3"/>
    <mergeCell ref="D3:E3"/>
    <mergeCell ref="G3:H3"/>
    <mergeCell ref="J3:K3"/>
    <mergeCell ref="A4:B4"/>
    <mergeCell ref="D4:E4"/>
    <mergeCell ref="G4:H4"/>
    <mergeCell ref="J4:K4"/>
    <mergeCell ref="A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0" hidden="false" customHeight="true" outlineLevel="0" collapsed="false">
      <c r="A1" s="48" t="s">
        <v>89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3" customFormat="false" ht="19.5" hidden="false" customHeight="true" outlineLevel="0" collapsed="false">
      <c r="A3" s="49" t="s">
        <v>90</v>
      </c>
      <c r="B3" s="49"/>
      <c r="D3" s="49" t="s">
        <v>91</v>
      </c>
      <c r="E3" s="49"/>
      <c r="G3" s="49" t="s">
        <v>92</v>
      </c>
      <c r="H3" s="49"/>
      <c r="J3" s="49" t="s">
        <v>93</v>
      </c>
      <c r="K3" s="49"/>
    </row>
    <row r="4" customFormat="false" ht="36" hidden="false" customHeight="true" outlineLevel="0" collapsed="false">
      <c r="A4" s="50" t="n">
        <f aca="false">DATA_MidMgmt!C8/DATA_MidMgmt!B8</f>
        <v>0.955555555555556</v>
      </c>
      <c r="B4" s="50"/>
      <c r="D4" s="50" t="n">
        <f aca="false">DATA_MidMgmt!D8/100</f>
        <v>0.956</v>
      </c>
      <c r="E4" s="50"/>
      <c r="G4" s="51" t="n">
        <f aca="false">DATA_MidMgmt!E8</f>
        <v>1.6</v>
      </c>
      <c r="H4" s="51"/>
      <c r="J4" s="52" t="n">
        <f aca="false">DATA_MidMgmt!F8</f>
        <v>31</v>
      </c>
      <c r="K4" s="52"/>
    </row>
    <row r="6" customFormat="false" ht="15" hidden="false" customHeight="false" outlineLevel="0" collapsed="false">
      <c r="A6" s="4" t="s">
        <v>94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53" t="s">
        <v>45</v>
      </c>
      <c r="B7" s="53" t="s">
        <v>59</v>
      </c>
      <c r="C7" s="53" t="s">
        <v>95</v>
      </c>
      <c r="D7" s="53" t="s">
        <v>96</v>
      </c>
      <c r="E7" s="53" t="s">
        <v>18</v>
      </c>
      <c r="F7" s="53" t="s">
        <v>97</v>
      </c>
    </row>
    <row r="8" customFormat="false" ht="15" hidden="false" customHeight="false" outlineLevel="0" collapsed="false">
      <c r="A8" s="25" t="str">
        <f aca="false">DATA_MidMgmt!A3</f>
        <v>Month 1</v>
      </c>
      <c r="B8" s="26" t="n">
        <f aca="false">DATA_MidMgmt!B3</f>
        <v>120</v>
      </c>
      <c r="C8" s="26" t="n">
        <f aca="false">DATA_MidMgmt!C3</f>
        <v>84</v>
      </c>
      <c r="D8" s="32" t="n">
        <f aca="false">DATA_MidMgmt!D3/100</f>
        <v>0.7</v>
      </c>
      <c r="E8" s="30" t="n">
        <f aca="false">DATA_MidMgmt!E3</f>
        <v>3.2</v>
      </c>
      <c r="F8" s="26" t="n">
        <f aca="false">DATA_MidMgmt!F3</f>
        <v>28</v>
      </c>
    </row>
    <row r="9" customFormat="false" ht="15" hidden="false" customHeight="false" outlineLevel="0" collapsed="false">
      <c r="A9" s="27" t="str">
        <f aca="false">DATA_MidMgmt!A4</f>
        <v>Month 2</v>
      </c>
      <c r="B9" s="29" t="n">
        <f aca="false">DATA_MidMgmt!B4</f>
        <v>135</v>
      </c>
      <c r="C9" s="29" t="n">
        <f aca="false">DATA_MidMgmt!C4</f>
        <v>108</v>
      </c>
      <c r="D9" s="28" t="n">
        <f aca="false">DATA_MidMgmt!D4/100</f>
        <v>0.8</v>
      </c>
      <c r="E9" s="31" t="n">
        <f aca="false">DATA_MidMgmt!E4</f>
        <v>2.8</v>
      </c>
      <c r="F9" s="29" t="n">
        <f aca="false">DATA_MidMgmt!F4</f>
        <v>41</v>
      </c>
    </row>
    <row r="10" customFormat="false" ht="15" hidden="false" customHeight="false" outlineLevel="0" collapsed="false">
      <c r="A10" s="25" t="str">
        <f aca="false">DATA_MidMgmt!A5</f>
        <v>Month 3</v>
      </c>
      <c r="B10" s="26" t="n">
        <f aca="false">DATA_MidMgmt!B5</f>
        <v>148</v>
      </c>
      <c r="C10" s="26" t="n">
        <f aca="false">DATA_MidMgmt!C5</f>
        <v>130</v>
      </c>
      <c r="D10" s="32" t="n">
        <f aca="false">DATA_MidMgmt!D5/100</f>
        <v>0.878</v>
      </c>
      <c r="E10" s="30" t="n">
        <f aca="false">DATA_MidMgmt!E5</f>
        <v>2.4</v>
      </c>
      <c r="F10" s="26" t="n">
        <f aca="false">DATA_MidMgmt!F5</f>
        <v>52</v>
      </c>
    </row>
    <row r="11" customFormat="false" ht="15" hidden="false" customHeight="false" outlineLevel="0" collapsed="false">
      <c r="A11" s="27" t="str">
        <f aca="false">DATA_MidMgmt!A6</f>
        <v>Month 4</v>
      </c>
      <c r="B11" s="29" t="n">
        <f aca="false">DATA_MidMgmt!B6</f>
        <v>160</v>
      </c>
      <c r="C11" s="29" t="n">
        <f aca="false">DATA_MidMgmt!C6</f>
        <v>147</v>
      </c>
      <c r="D11" s="28" t="n">
        <f aca="false">DATA_MidMgmt!D6/100</f>
        <v>0.919</v>
      </c>
      <c r="E11" s="31" t="n">
        <f aca="false">DATA_MidMgmt!E6</f>
        <v>2.1</v>
      </c>
      <c r="F11" s="29" t="n">
        <f aca="false">DATA_MidMgmt!F6</f>
        <v>48</v>
      </c>
    </row>
    <row r="12" customFormat="false" ht="15" hidden="false" customHeight="false" outlineLevel="0" collapsed="false">
      <c r="A12" s="25" t="str">
        <f aca="false">DATA_MidMgmt!A7</f>
        <v>Month 5</v>
      </c>
      <c r="B12" s="26" t="n">
        <f aca="false">DATA_MidMgmt!B7</f>
        <v>172</v>
      </c>
      <c r="C12" s="26" t="n">
        <f aca="false">DATA_MidMgmt!C7</f>
        <v>162</v>
      </c>
      <c r="D12" s="32" t="n">
        <f aca="false">DATA_MidMgmt!D7/100</f>
        <v>0.942</v>
      </c>
      <c r="E12" s="30" t="n">
        <f aca="false">DATA_MidMgmt!E7</f>
        <v>1.8</v>
      </c>
      <c r="F12" s="26" t="n">
        <f aca="false">DATA_MidMgmt!F7</f>
        <v>39</v>
      </c>
    </row>
    <row r="13" customFormat="false" ht="15" hidden="false" customHeight="false" outlineLevel="0" collapsed="false">
      <c r="A13" s="27" t="str">
        <f aca="false">DATA_MidMgmt!A8</f>
        <v>Month 6</v>
      </c>
      <c r="B13" s="29" t="n">
        <f aca="false">DATA_MidMgmt!B8</f>
        <v>180</v>
      </c>
      <c r="C13" s="29" t="n">
        <f aca="false">DATA_MidMgmt!C8</f>
        <v>172</v>
      </c>
      <c r="D13" s="28" t="n">
        <f aca="false">DATA_MidMgmt!D8/100</f>
        <v>0.956</v>
      </c>
      <c r="E13" s="31" t="n">
        <f aca="false">DATA_MidMgmt!E8</f>
        <v>1.6</v>
      </c>
      <c r="F13" s="29" t="n">
        <f aca="false">DATA_MidMgmt!F8</f>
        <v>31</v>
      </c>
    </row>
  </sheetData>
  <mergeCells count="10">
    <mergeCell ref="A1:L1"/>
    <mergeCell ref="A3:B3"/>
    <mergeCell ref="D3:E3"/>
    <mergeCell ref="G3:H3"/>
    <mergeCell ref="J3:K3"/>
    <mergeCell ref="A4:B4"/>
    <mergeCell ref="D4:E4"/>
    <mergeCell ref="G4:H4"/>
    <mergeCell ref="J4:K4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54" t="s">
        <v>98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3" customFormat="false" ht="19.5" hidden="false" customHeight="true" outlineLevel="0" collapsed="false">
      <c r="A3" s="55" t="s">
        <v>99</v>
      </c>
      <c r="B3" s="55"/>
      <c r="D3" s="55" t="s">
        <v>100</v>
      </c>
      <c r="E3" s="55"/>
      <c r="G3" s="55" t="s">
        <v>101</v>
      </c>
      <c r="H3" s="55"/>
      <c r="J3" s="55" t="s">
        <v>102</v>
      </c>
      <c r="K3" s="55"/>
    </row>
    <row r="4" customFormat="false" ht="36" hidden="false" customHeight="true" outlineLevel="0" collapsed="false">
      <c r="A4" s="56" t="n">
        <f aca="false">DATA_Developers!C8/DATA_Developers!B8</f>
        <v>0.788888888888889</v>
      </c>
      <c r="B4" s="56"/>
      <c r="D4" s="57" t="n">
        <f aca="false">DATA_Developers!D8</f>
        <v>26</v>
      </c>
      <c r="E4" s="57"/>
      <c r="G4" s="58" t="n">
        <f aca="false">DATA_Developers!E8</f>
        <v>12.4</v>
      </c>
      <c r="H4" s="58"/>
      <c r="J4" s="57" t="n">
        <f aca="false">DATA_Developers!F8</f>
        <v>52</v>
      </c>
      <c r="K4" s="57"/>
    </row>
    <row r="6" customFormat="false" ht="15" hidden="false" customHeight="false" outlineLevel="0" collapsed="false">
      <c r="A6" s="5" t="s">
        <v>103</v>
      </c>
      <c r="B6" s="5"/>
      <c r="C6" s="5"/>
      <c r="D6" s="5"/>
      <c r="E6" s="5"/>
      <c r="F6" s="5"/>
    </row>
    <row r="7" customFormat="false" ht="15" hidden="false" customHeight="false" outlineLevel="0" collapsed="false">
      <c r="A7" s="59" t="s">
        <v>45</v>
      </c>
      <c r="B7" s="59" t="s">
        <v>59</v>
      </c>
      <c r="C7" s="59" t="s">
        <v>104</v>
      </c>
      <c r="D7" s="59" t="s">
        <v>66</v>
      </c>
      <c r="E7" s="59" t="s">
        <v>105</v>
      </c>
      <c r="F7" s="59" t="s">
        <v>106</v>
      </c>
    </row>
    <row r="8" customFormat="false" ht="15" hidden="false" customHeight="false" outlineLevel="0" collapsed="false">
      <c r="A8" s="25" t="str">
        <f aca="false">DATA_Developers!A3</f>
        <v>Month 1</v>
      </c>
      <c r="B8" s="26" t="n">
        <f aca="false">DATA_Developers!B3</f>
        <v>120</v>
      </c>
      <c r="C8" s="32" t="n">
        <f aca="false">DATA_Developers!C3/DATA_Developers!B3</f>
        <v>0.283333333333333</v>
      </c>
      <c r="D8" s="26" t="n">
        <f aca="false">DATA_Developers!D3</f>
        <v>62</v>
      </c>
      <c r="E8" s="30" t="n">
        <f aca="false">DATA_Developers!E3</f>
        <v>28.4</v>
      </c>
      <c r="F8" s="26" t="n">
        <f aca="false">DATA_Developers!F3</f>
        <v>8</v>
      </c>
    </row>
    <row r="9" customFormat="false" ht="15" hidden="false" customHeight="false" outlineLevel="0" collapsed="false">
      <c r="A9" s="27" t="str">
        <f aca="false">DATA_Developers!A4</f>
        <v>Month 2</v>
      </c>
      <c r="B9" s="29" t="n">
        <f aca="false">DATA_Developers!B4</f>
        <v>135</v>
      </c>
      <c r="C9" s="28" t="n">
        <f aca="false">DATA_Developers!C4/DATA_Developers!B4</f>
        <v>0.42962962962963</v>
      </c>
      <c r="D9" s="29" t="n">
        <f aca="false">DATA_Developers!D4</f>
        <v>54</v>
      </c>
      <c r="E9" s="31" t="n">
        <f aca="false">DATA_Developers!E4</f>
        <v>24.2</v>
      </c>
      <c r="F9" s="29" t="n">
        <f aca="false">DATA_Developers!F4</f>
        <v>17</v>
      </c>
    </row>
    <row r="10" customFormat="false" ht="15" hidden="false" customHeight="false" outlineLevel="0" collapsed="false">
      <c r="A10" s="25" t="str">
        <f aca="false">DATA_Developers!A5</f>
        <v>Month 3</v>
      </c>
      <c r="B10" s="26" t="n">
        <f aca="false">DATA_Developers!B5</f>
        <v>148</v>
      </c>
      <c r="C10" s="32" t="n">
        <f aca="false">DATA_Developers!C5/DATA_Developers!B5</f>
        <v>0.554054054054054</v>
      </c>
      <c r="D10" s="26" t="n">
        <f aca="false">DATA_Developers!D5</f>
        <v>44</v>
      </c>
      <c r="E10" s="30" t="n">
        <f aca="false">DATA_Developers!E5</f>
        <v>20.6</v>
      </c>
      <c r="F10" s="26" t="n">
        <f aca="false">DATA_Developers!F5</f>
        <v>29</v>
      </c>
    </row>
    <row r="11" customFormat="false" ht="15" hidden="false" customHeight="false" outlineLevel="0" collapsed="false">
      <c r="A11" s="27" t="str">
        <f aca="false">DATA_Developers!A6</f>
        <v>Month 4</v>
      </c>
      <c r="B11" s="29" t="n">
        <f aca="false">DATA_Developers!B6</f>
        <v>160</v>
      </c>
      <c r="C11" s="28" t="n">
        <f aca="false">DATA_Developers!C6/DATA_Developers!B6</f>
        <v>0.65</v>
      </c>
      <c r="D11" s="29" t="n">
        <f aca="false">DATA_Developers!D6</f>
        <v>38</v>
      </c>
      <c r="E11" s="31" t="n">
        <f aca="false">DATA_Developers!E6</f>
        <v>17.2</v>
      </c>
      <c r="F11" s="29" t="n">
        <f aca="false">DATA_Developers!F6</f>
        <v>38</v>
      </c>
    </row>
    <row r="12" customFormat="false" ht="15" hidden="false" customHeight="false" outlineLevel="0" collapsed="false">
      <c r="A12" s="25" t="str">
        <f aca="false">DATA_Developers!A7</f>
        <v>Month 5</v>
      </c>
      <c r="B12" s="26" t="n">
        <f aca="false">DATA_Developers!B7</f>
        <v>172</v>
      </c>
      <c r="C12" s="32" t="n">
        <f aca="false">DATA_Developers!C7/DATA_Developers!B7</f>
        <v>0.72093023255814</v>
      </c>
      <c r="D12" s="26" t="n">
        <f aca="false">DATA_Developers!D7</f>
        <v>32</v>
      </c>
      <c r="E12" s="30" t="n">
        <f aca="false">DATA_Developers!E7</f>
        <v>14.8</v>
      </c>
      <c r="F12" s="26" t="n">
        <f aca="false">DATA_Developers!F7</f>
        <v>44</v>
      </c>
    </row>
    <row r="13" customFormat="false" ht="15" hidden="false" customHeight="false" outlineLevel="0" collapsed="false">
      <c r="A13" s="27" t="str">
        <f aca="false">DATA_Developers!A8</f>
        <v>Month 6</v>
      </c>
      <c r="B13" s="29" t="n">
        <f aca="false">DATA_Developers!B8</f>
        <v>180</v>
      </c>
      <c r="C13" s="28" t="n">
        <f aca="false">DATA_Developers!C8/DATA_Developers!B8</f>
        <v>0.788888888888889</v>
      </c>
      <c r="D13" s="29" t="n">
        <f aca="false">DATA_Developers!D8</f>
        <v>26</v>
      </c>
      <c r="E13" s="31" t="n">
        <f aca="false">DATA_Developers!E8</f>
        <v>12.4</v>
      </c>
      <c r="F13" s="29" t="n">
        <f aca="false">DATA_Developers!F8</f>
        <v>52</v>
      </c>
    </row>
  </sheetData>
  <mergeCells count="10">
    <mergeCell ref="A1:L1"/>
    <mergeCell ref="A3:B3"/>
    <mergeCell ref="D3:E3"/>
    <mergeCell ref="G3:H3"/>
    <mergeCell ref="J3:K3"/>
    <mergeCell ref="A4:B4"/>
    <mergeCell ref="D4:E4"/>
    <mergeCell ref="G4:H4"/>
    <mergeCell ref="J4:K4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3" customFormat="false" ht="19.5" hidden="false" customHeight="true" outlineLevel="0" collapsed="false">
      <c r="A3" s="61" t="s">
        <v>108</v>
      </c>
      <c r="B3" s="61"/>
      <c r="D3" s="61" t="s">
        <v>109</v>
      </c>
      <c r="E3" s="61"/>
      <c r="G3" s="61" t="s">
        <v>110</v>
      </c>
      <c r="H3" s="61"/>
      <c r="J3" s="61" t="s">
        <v>111</v>
      </c>
      <c r="K3" s="61"/>
    </row>
    <row r="4" customFormat="false" ht="36" hidden="false" customHeight="true" outlineLevel="0" collapsed="false">
      <c r="A4" s="62" t="n">
        <f aca="false">DATA_PRReviewers!C8/DATA_PRReviewers!B8</f>
        <v>0.822222222222222</v>
      </c>
      <c r="B4" s="62"/>
      <c r="D4" s="63" t="n">
        <f aca="false">DATA_PRReviewers!D8</f>
        <v>2.9</v>
      </c>
      <c r="E4" s="63"/>
      <c r="G4" s="63" t="n">
        <f aca="false">DATA_PRReviewers!E8</f>
        <v>1.2</v>
      </c>
      <c r="H4" s="63"/>
      <c r="J4" s="64" t="n">
        <f aca="false">DATA_PRReviewers!F8</f>
        <v>2</v>
      </c>
      <c r="K4" s="64"/>
    </row>
    <row r="6" customFormat="false" ht="15" hidden="false" customHeight="false" outlineLevel="0" collapsed="false">
      <c r="A6" s="6" t="s">
        <v>112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65" t="s">
        <v>45</v>
      </c>
      <c r="B7" s="65" t="s">
        <v>70</v>
      </c>
      <c r="C7" s="65" t="s">
        <v>113</v>
      </c>
      <c r="D7" s="65" t="s">
        <v>114</v>
      </c>
      <c r="E7" s="65" t="s">
        <v>20</v>
      </c>
      <c r="F7" s="65" t="s">
        <v>115</v>
      </c>
    </row>
    <row r="8" customFormat="false" ht="15" hidden="false" customHeight="false" outlineLevel="0" collapsed="false">
      <c r="A8" s="25" t="str">
        <f aca="false">DATA_PRReviewers!A3</f>
        <v>Month 1</v>
      </c>
      <c r="B8" s="26" t="n">
        <f aca="false">DATA_PRReviewers!B3</f>
        <v>120</v>
      </c>
      <c r="C8" s="32" t="n">
        <f aca="false">DATA_PRReviewers!C3/DATA_PRReviewers!B3</f>
        <v>0.233333333333333</v>
      </c>
      <c r="D8" s="30" t="n">
        <f aca="false">DATA_PRReviewers!D3</f>
        <v>7.2</v>
      </c>
      <c r="E8" s="30" t="n">
        <f aca="false">DATA_PRReviewers!E3</f>
        <v>2.8</v>
      </c>
      <c r="F8" s="26" t="n">
        <f aca="false">DATA_PRReviewers!F3</f>
        <v>12</v>
      </c>
    </row>
    <row r="9" customFormat="false" ht="15" hidden="false" customHeight="false" outlineLevel="0" collapsed="false">
      <c r="A9" s="27" t="str">
        <f aca="false">DATA_PRReviewers!A4</f>
        <v>Month 2</v>
      </c>
      <c r="B9" s="29" t="n">
        <f aca="false">DATA_PRReviewers!B4</f>
        <v>135</v>
      </c>
      <c r="C9" s="28" t="n">
        <f aca="false">DATA_PRReviewers!C4/DATA_PRReviewers!B4</f>
        <v>0.385185185185185</v>
      </c>
      <c r="D9" s="31" t="n">
        <f aca="false">DATA_PRReviewers!D4</f>
        <v>6.1</v>
      </c>
      <c r="E9" s="31" t="n">
        <f aca="false">DATA_PRReviewers!E4</f>
        <v>2.4</v>
      </c>
      <c r="F9" s="29" t="n">
        <f aca="false">DATA_PRReviewers!F4</f>
        <v>9</v>
      </c>
    </row>
    <row r="10" customFormat="false" ht="15" hidden="false" customHeight="false" outlineLevel="0" collapsed="false">
      <c r="A10" s="25" t="str">
        <f aca="false">DATA_PRReviewers!A5</f>
        <v>Month 3</v>
      </c>
      <c r="B10" s="26" t="n">
        <f aca="false">DATA_PRReviewers!B5</f>
        <v>148</v>
      </c>
      <c r="C10" s="32" t="n">
        <f aca="false">DATA_PRReviewers!C5/DATA_PRReviewers!B5</f>
        <v>0.527027027027027</v>
      </c>
      <c r="D10" s="30" t="n">
        <f aca="false">DATA_PRReviewers!D5</f>
        <v>5.2</v>
      </c>
      <c r="E10" s="30" t="n">
        <f aca="false">DATA_PRReviewers!E5</f>
        <v>2</v>
      </c>
      <c r="F10" s="26" t="n">
        <f aca="false">DATA_PRReviewers!F5</f>
        <v>7</v>
      </c>
    </row>
    <row r="11" customFormat="false" ht="15" hidden="false" customHeight="false" outlineLevel="0" collapsed="false">
      <c r="A11" s="27" t="str">
        <f aca="false">DATA_PRReviewers!A6</f>
        <v>Month 4</v>
      </c>
      <c r="B11" s="29" t="n">
        <f aca="false">DATA_PRReviewers!B6</f>
        <v>160</v>
      </c>
      <c r="C11" s="28" t="n">
        <f aca="false">DATA_PRReviewers!C6/DATA_PRReviewers!B6</f>
        <v>0.65</v>
      </c>
      <c r="D11" s="31" t="n">
        <f aca="false">DATA_PRReviewers!D6</f>
        <v>4.4</v>
      </c>
      <c r="E11" s="31" t="n">
        <f aca="false">DATA_PRReviewers!E6</f>
        <v>1.7</v>
      </c>
      <c r="F11" s="29" t="n">
        <f aca="false">DATA_PRReviewers!F6</f>
        <v>5</v>
      </c>
    </row>
    <row r="12" customFormat="false" ht="15" hidden="false" customHeight="false" outlineLevel="0" collapsed="false">
      <c r="A12" s="25" t="str">
        <f aca="false">DATA_PRReviewers!A7</f>
        <v>Month 5</v>
      </c>
      <c r="B12" s="26" t="n">
        <f aca="false">DATA_PRReviewers!B7</f>
        <v>172</v>
      </c>
      <c r="C12" s="32" t="n">
        <f aca="false">DATA_PRReviewers!C7/DATA_PRReviewers!B7</f>
        <v>0.744186046511628</v>
      </c>
      <c r="D12" s="30" t="n">
        <f aca="false">DATA_PRReviewers!D7</f>
        <v>3.6</v>
      </c>
      <c r="E12" s="30" t="n">
        <f aca="false">DATA_PRReviewers!E7</f>
        <v>1.4</v>
      </c>
      <c r="F12" s="26" t="n">
        <f aca="false">DATA_PRReviewers!F7</f>
        <v>3</v>
      </c>
    </row>
    <row r="13" customFormat="false" ht="15" hidden="false" customHeight="false" outlineLevel="0" collapsed="false">
      <c r="A13" s="27" t="str">
        <f aca="false">DATA_PRReviewers!A8</f>
        <v>Month 6</v>
      </c>
      <c r="B13" s="29" t="n">
        <f aca="false">DATA_PRReviewers!B8</f>
        <v>180</v>
      </c>
      <c r="C13" s="28" t="n">
        <f aca="false">DATA_PRReviewers!C8/DATA_PRReviewers!B8</f>
        <v>0.822222222222222</v>
      </c>
      <c r="D13" s="31" t="n">
        <f aca="false">DATA_PRReviewers!D8</f>
        <v>2.9</v>
      </c>
      <c r="E13" s="31" t="n">
        <f aca="false">DATA_PRReviewers!E8</f>
        <v>1.2</v>
      </c>
      <c r="F13" s="29" t="n">
        <f aca="false">DATA_PRReviewers!F8</f>
        <v>2</v>
      </c>
    </row>
  </sheetData>
  <mergeCells count="10">
    <mergeCell ref="A1:L1"/>
    <mergeCell ref="A3:B3"/>
    <mergeCell ref="D3:E3"/>
    <mergeCell ref="G3:H3"/>
    <mergeCell ref="J3:K3"/>
    <mergeCell ref="A4:B4"/>
    <mergeCell ref="D4:E4"/>
    <mergeCell ref="G4:H4"/>
    <mergeCell ref="J4:K4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0" hidden="false" customHeight="true" outlineLevel="0" collapsed="false">
      <c r="A1" s="66" t="s">
        <v>116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3" customFormat="false" ht="19.5" hidden="false" customHeight="true" outlineLevel="0" collapsed="false">
      <c r="A3" s="67" t="s">
        <v>117</v>
      </c>
      <c r="B3" s="67"/>
      <c r="D3" s="67" t="s">
        <v>118</v>
      </c>
      <c r="E3" s="67"/>
      <c r="G3" s="67" t="s">
        <v>119</v>
      </c>
      <c r="H3" s="67"/>
      <c r="J3" s="67" t="s">
        <v>120</v>
      </c>
      <c r="K3" s="67"/>
    </row>
    <row r="4" customFormat="false" ht="36" hidden="false" customHeight="true" outlineLevel="0" collapsed="false">
      <c r="A4" s="68" t="n">
        <f aca="false">DATA_NewJoinees!C8</f>
        <v>4.2</v>
      </c>
      <c r="B4" s="68"/>
      <c r="D4" s="68" t="n">
        <f aca="false">DATA_NewJoinees!D8</f>
        <v>3.6</v>
      </c>
      <c r="E4" s="68"/>
      <c r="G4" s="68" t="n">
        <f aca="false">DATA_NewJoinees!E8</f>
        <v>4.2</v>
      </c>
      <c r="H4" s="68"/>
      <c r="J4" s="68" t="n">
        <f aca="false">DATA_NewJoinees!F8</f>
        <v>5</v>
      </c>
      <c r="K4" s="68"/>
    </row>
    <row r="6" customFormat="false" ht="15" hidden="false" customHeight="false" outlineLevel="0" collapsed="false">
      <c r="A6" s="7" t="s">
        <v>121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69" t="s">
        <v>45</v>
      </c>
      <c r="B7" s="69" t="s">
        <v>76</v>
      </c>
      <c r="C7" s="69" t="s">
        <v>122</v>
      </c>
      <c r="D7" s="69" t="s">
        <v>123</v>
      </c>
      <c r="E7" s="69" t="s">
        <v>124</v>
      </c>
      <c r="F7" s="69" t="s">
        <v>21</v>
      </c>
    </row>
    <row r="8" customFormat="false" ht="15" hidden="false" customHeight="false" outlineLevel="0" collapsed="false">
      <c r="A8" s="25" t="str">
        <f aca="false">DATA_NewJoinees!A3</f>
        <v>Month 1</v>
      </c>
      <c r="B8" s="26" t="n">
        <f aca="false">DATA_NewJoinees!B3</f>
        <v>12</v>
      </c>
      <c r="C8" s="30" t="n">
        <f aca="false">DATA_NewJoinees!C3</f>
        <v>1.2</v>
      </c>
      <c r="D8" s="30" t="n">
        <f aca="false">DATA_NewJoinees!D3</f>
        <v>9.4</v>
      </c>
      <c r="E8" s="30" t="n">
        <f aca="false">DATA_NewJoinees!E3</f>
        <v>14.2</v>
      </c>
      <c r="F8" s="30" t="n">
        <f aca="false">DATA_NewJoinees!F3</f>
        <v>22</v>
      </c>
    </row>
    <row r="9" customFormat="false" ht="15" hidden="false" customHeight="false" outlineLevel="0" collapsed="false">
      <c r="A9" s="27" t="str">
        <f aca="false">DATA_NewJoinees!A4</f>
        <v>Month 2</v>
      </c>
      <c r="B9" s="29" t="n">
        <f aca="false">DATA_NewJoinees!B4</f>
        <v>12</v>
      </c>
      <c r="C9" s="31" t="n">
        <f aca="false">DATA_NewJoinees!C4</f>
        <v>1.8</v>
      </c>
      <c r="D9" s="31" t="n">
        <f aca="false">DATA_NewJoinees!D4</f>
        <v>8.1</v>
      </c>
      <c r="E9" s="31" t="n">
        <f aca="false">DATA_NewJoinees!E4</f>
        <v>11.8</v>
      </c>
      <c r="F9" s="31" t="n">
        <f aca="false">DATA_NewJoinees!F4</f>
        <v>18</v>
      </c>
    </row>
    <row r="10" customFormat="false" ht="15" hidden="false" customHeight="false" outlineLevel="0" collapsed="false">
      <c r="A10" s="25" t="str">
        <f aca="false">DATA_NewJoinees!A5</f>
        <v>Month 3</v>
      </c>
      <c r="B10" s="26" t="n">
        <f aca="false">DATA_NewJoinees!B5</f>
        <v>12</v>
      </c>
      <c r="C10" s="30" t="n">
        <f aca="false">DATA_NewJoinees!C5</f>
        <v>2.6</v>
      </c>
      <c r="D10" s="30" t="n">
        <f aca="false">DATA_NewJoinees!D5</f>
        <v>6.8</v>
      </c>
      <c r="E10" s="30" t="n">
        <f aca="false">DATA_NewJoinees!E5</f>
        <v>9.4</v>
      </c>
      <c r="F10" s="30" t="n">
        <f aca="false">DATA_NewJoinees!F5</f>
        <v>14</v>
      </c>
    </row>
    <row r="11" customFormat="false" ht="15" hidden="false" customHeight="false" outlineLevel="0" collapsed="false">
      <c r="A11" s="27" t="str">
        <f aca="false">DATA_NewJoinees!A6</f>
        <v>Month 4</v>
      </c>
      <c r="B11" s="29" t="n">
        <f aca="false">DATA_NewJoinees!B6</f>
        <v>12</v>
      </c>
      <c r="C11" s="31" t="n">
        <f aca="false">DATA_NewJoinees!C6</f>
        <v>3.2</v>
      </c>
      <c r="D11" s="31" t="n">
        <f aca="false">DATA_NewJoinees!D6</f>
        <v>5.6</v>
      </c>
      <c r="E11" s="31" t="n">
        <f aca="false">DATA_NewJoinees!E6</f>
        <v>7.2</v>
      </c>
      <c r="F11" s="31" t="n">
        <f aca="false">DATA_NewJoinees!F6</f>
        <v>10</v>
      </c>
    </row>
    <row r="12" customFormat="false" ht="15" hidden="false" customHeight="false" outlineLevel="0" collapsed="false">
      <c r="A12" s="25" t="str">
        <f aca="false">DATA_NewJoinees!A7</f>
        <v>Month 5</v>
      </c>
      <c r="B12" s="26" t="n">
        <f aca="false">DATA_NewJoinees!B7</f>
        <v>12</v>
      </c>
      <c r="C12" s="30" t="n">
        <f aca="false">DATA_NewJoinees!C7</f>
        <v>3.8</v>
      </c>
      <c r="D12" s="30" t="n">
        <f aca="false">DATA_NewJoinees!D7</f>
        <v>4.4</v>
      </c>
      <c r="E12" s="30" t="n">
        <f aca="false">DATA_NewJoinees!E7</f>
        <v>5.6</v>
      </c>
      <c r="F12" s="30" t="n">
        <f aca="false">DATA_NewJoinees!F7</f>
        <v>7</v>
      </c>
    </row>
    <row r="13" customFormat="false" ht="15" hidden="false" customHeight="false" outlineLevel="0" collapsed="false">
      <c r="A13" s="27" t="str">
        <f aca="false">DATA_NewJoinees!A8</f>
        <v>Month 6</v>
      </c>
      <c r="B13" s="29" t="n">
        <f aca="false">DATA_NewJoinees!B8</f>
        <v>12</v>
      </c>
      <c r="C13" s="31" t="n">
        <f aca="false">DATA_NewJoinees!C8</f>
        <v>4.2</v>
      </c>
      <c r="D13" s="31" t="n">
        <f aca="false">DATA_NewJoinees!D8</f>
        <v>3.6</v>
      </c>
      <c r="E13" s="31" t="n">
        <f aca="false">DATA_NewJoinees!E8</f>
        <v>4.2</v>
      </c>
      <c r="F13" s="31" t="n">
        <f aca="false">DATA_NewJoinees!F8</f>
        <v>5</v>
      </c>
    </row>
  </sheetData>
  <mergeCells count="10">
    <mergeCell ref="A1:L1"/>
    <mergeCell ref="A3:B3"/>
    <mergeCell ref="D3:E3"/>
    <mergeCell ref="G3:H3"/>
    <mergeCell ref="J3:K3"/>
    <mergeCell ref="A4:B4"/>
    <mergeCell ref="D4:E4"/>
    <mergeCell ref="G4:H4"/>
    <mergeCell ref="J4:K4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2026-04-26T04:05:58Z</dcterms:created>
  <dc:creator>openpyxl</dc:creator>
  <dc:description/>
  <dc:language>en-US</dc:language>
  <cp:lastModifiedBy/>
  <dcterms:modified xsi:type="dcterms:W3CDTF">2026-04-26T04:07:09Z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